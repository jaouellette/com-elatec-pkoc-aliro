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.ouellette\AndroidStudioProjects\com-elatec-pkoc-aliro\android\simulator\src\main\java\com\pkoc\readersimulator\"/>
    </mc:Choice>
  </mc:AlternateContent>
  <xr:revisionPtr revIDLastSave="0" documentId="13_ncr:1_{92A15A28-493B-46D2-92EE-C21E4CF07A74}" xr6:coauthVersionLast="47" xr6:coauthVersionMax="47" xr10:uidLastSave="{00000000-0000-0000-0000-000000000000}"/>
  <bookViews>
    <workbookView xWindow="-28920" yWindow="-15" windowWidth="29040" windowHeight="15720" tabRatio="500" activeTab="2" xr2:uid="{00000000-000D-0000-FFFF-FFFF00000000}"/>
  </bookViews>
  <sheets>
    <sheet name="Read Me" sheetId="1" r:id="rId1"/>
    <sheet name="Market (Omdia)" sheetId="2" r:id="rId2"/>
    <sheet name="Assumptions" sheetId="3" r:id="rId3"/>
    <sheet name="Revenue Model" sheetId="4" r:id="rId4"/>
    <sheet name="Share &amp; Disruption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6" l="1"/>
  <c r="D31" i="6"/>
  <c r="C31" i="6"/>
  <c r="E30" i="6"/>
  <c r="D30" i="6"/>
  <c r="C30" i="6"/>
  <c r="C13" i="5"/>
  <c r="I13" i="4"/>
  <c r="H13" i="4"/>
  <c r="G13" i="4"/>
  <c r="F13" i="4"/>
  <c r="E13" i="4"/>
  <c r="D13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  <c r="H26" i="3"/>
  <c r="I12" i="4" s="1"/>
  <c r="G26" i="3"/>
  <c r="H12" i="4" s="1"/>
  <c r="F26" i="3"/>
  <c r="G12" i="4" s="1"/>
  <c r="E26" i="3"/>
  <c r="F12" i="4" s="1"/>
  <c r="D26" i="3"/>
  <c r="E12" i="4" s="1"/>
  <c r="C26" i="3"/>
  <c r="D12" i="4" s="1"/>
  <c r="F19" i="3"/>
  <c r="F17" i="3"/>
  <c r="F16" i="3"/>
  <c r="C29" i="4" s="1"/>
  <c r="F15" i="3"/>
  <c r="F14" i="3"/>
  <c r="C28" i="4" s="1"/>
  <c r="F13" i="3"/>
  <c r="F12" i="3"/>
  <c r="C27" i="4" s="1"/>
  <c r="F10" i="3"/>
  <c r="F9" i="3"/>
  <c r="F24" i="4" s="1"/>
  <c r="F26" i="4" s="1"/>
  <c r="F8" i="3"/>
  <c r="F7" i="3"/>
  <c r="D3" i="3"/>
  <c r="H30" i="2"/>
  <c r="G30" i="2"/>
  <c r="F30" i="2"/>
  <c r="E30" i="2"/>
  <c r="D30" i="2"/>
  <c r="C30" i="2"/>
  <c r="K29" i="2"/>
  <c r="I29" i="2"/>
  <c r="K28" i="2"/>
  <c r="I28" i="2"/>
  <c r="H24" i="2"/>
  <c r="G24" i="2"/>
  <c r="F24" i="2"/>
  <c r="E24" i="2"/>
  <c r="D24" i="2"/>
  <c r="C24" i="2"/>
  <c r="H23" i="2"/>
  <c r="K23" i="2" s="1"/>
  <c r="G23" i="2"/>
  <c r="F23" i="2"/>
  <c r="E23" i="2"/>
  <c r="D23" i="2"/>
  <c r="C23" i="2"/>
  <c r="K22" i="2"/>
  <c r="I22" i="2"/>
  <c r="K21" i="2"/>
  <c r="I21" i="2"/>
  <c r="K20" i="2"/>
  <c r="I20" i="2"/>
  <c r="K19" i="2"/>
  <c r="I19" i="2"/>
  <c r="K18" i="2"/>
  <c r="I18" i="2"/>
  <c r="K17" i="2"/>
  <c r="I17" i="2"/>
  <c r="H13" i="2"/>
  <c r="G13" i="2"/>
  <c r="F13" i="2"/>
  <c r="E13" i="2"/>
  <c r="D13" i="2"/>
  <c r="C13" i="2"/>
  <c r="H12" i="2"/>
  <c r="K12" i="2" s="1"/>
  <c r="G12" i="2"/>
  <c r="G9" i="4" s="1"/>
  <c r="F12" i="2"/>
  <c r="E12" i="2"/>
  <c r="D12" i="2"/>
  <c r="C12" i="2"/>
  <c r="K11" i="2"/>
  <c r="I11" i="2"/>
  <c r="K10" i="2"/>
  <c r="I10" i="2"/>
  <c r="K9" i="2"/>
  <c r="I9" i="2"/>
  <c r="K8" i="2"/>
  <c r="I8" i="2"/>
  <c r="K7" i="2"/>
  <c r="I7" i="2"/>
  <c r="K6" i="2"/>
  <c r="I6" i="2"/>
  <c r="I24" i="4" l="1"/>
  <c r="H24" i="4"/>
  <c r="H26" i="4" s="1"/>
  <c r="E24" i="4"/>
  <c r="E26" i="4" s="1"/>
  <c r="D24" i="4"/>
  <c r="D26" i="4" s="1"/>
  <c r="D9" i="5" s="1"/>
  <c r="C24" i="4"/>
  <c r="C26" i="4" s="1"/>
  <c r="C9" i="5" s="1"/>
  <c r="H18" i="4"/>
  <c r="H8" i="5" s="1"/>
  <c r="G18" i="4"/>
  <c r="G8" i="5" s="1"/>
  <c r="F18" i="4"/>
  <c r="F8" i="5" s="1"/>
  <c r="E18" i="4"/>
  <c r="E8" i="5" s="1"/>
  <c r="D18" i="4"/>
  <c r="D8" i="5" s="1"/>
  <c r="I23" i="4"/>
  <c r="H23" i="4"/>
  <c r="H25" i="4" s="1"/>
  <c r="H7" i="5" s="1"/>
  <c r="G17" i="4"/>
  <c r="E17" i="4"/>
  <c r="C17" i="4"/>
  <c r="C6" i="5" s="1"/>
  <c r="F23" i="4"/>
  <c r="F25" i="4" s="1"/>
  <c r="D23" i="4"/>
  <c r="D25" i="4" s="1"/>
  <c r="C23" i="4"/>
  <c r="C25" i="4" s="1"/>
  <c r="H17" i="4"/>
  <c r="H16" i="5" s="1"/>
  <c r="F17" i="4"/>
  <c r="D17" i="4"/>
  <c r="G27" i="4"/>
  <c r="E18" i="6" s="1"/>
  <c r="G29" i="4"/>
  <c r="E20" i="6" s="1"/>
  <c r="G28" i="4"/>
  <c r="E19" i="6" s="1"/>
  <c r="F29" i="4"/>
  <c r="D20" i="6" s="1"/>
  <c r="F28" i="4"/>
  <c r="D19" i="6" s="1"/>
  <c r="F27" i="4"/>
  <c r="D18" i="6" s="1"/>
  <c r="E27" i="4"/>
  <c r="C18" i="6" s="1"/>
  <c r="E29" i="4"/>
  <c r="C20" i="6" s="1"/>
  <c r="E28" i="4"/>
  <c r="C19" i="6" s="1"/>
  <c r="D28" i="4"/>
  <c r="D27" i="4"/>
  <c r="D29" i="4"/>
  <c r="H28" i="4"/>
  <c r="F19" i="6" s="1"/>
  <c r="H27" i="4"/>
  <c r="H29" i="4"/>
  <c r="F20" i="6" s="1"/>
  <c r="F13" i="5"/>
  <c r="F14" i="5" s="1"/>
  <c r="F15" i="5" s="1"/>
  <c r="G13" i="5"/>
  <c r="G14" i="5" s="1"/>
  <c r="G15" i="5" s="1"/>
  <c r="G24" i="4"/>
  <c r="G26" i="4" s="1"/>
  <c r="C18" i="4"/>
  <c r="E23" i="4"/>
  <c r="E25" i="4" s="1"/>
  <c r="G23" i="4"/>
  <c r="G25" i="4" s="1"/>
  <c r="B2" i="6"/>
  <c r="B2" i="4"/>
  <c r="B2" i="5"/>
  <c r="C14" i="5"/>
  <c r="C15" i="5" s="1"/>
  <c r="C17" i="5" s="1"/>
  <c r="I13" i="5"/>
  <c r="I14" i="5" s="1"/>
  <c r="I15" i="5" s="1"/>
  <c r="H13" i="5"/>
  <c r="H14" i="5" s="1"/>
  <c r="H15" i="5" s="1"/>
  <c r="E13" i="5"/>
  <c r="E14" i="5" s="1"/>
  <c r="E15" i="5" s="1"/>
  <c r="D13" i="5"/>
  <c r="D14" i="5" s="1"/>
  <c r="D15" i="5" s="1"/>
  <c r="D17" i="5" s="1"/>
  <c r="F9" i="5"/>
  <c r="D17" i="6"/>
  <c r="F16" i="6"/>
  <c r="I11" i="4"/>
  <c r="I30" i="2"/>
  <c r="I24" i="2"/>
  <c r="I23" i="2"/>
  <c r="I8" i="4" s="1"/>
  <c r="I12" i="2"/>
  <c r="I9" i="4" s="1"/>
  <c r="I13" i="2"/>
  <c r="H9" i="5" l="1"/>
  <c r="F17" i="6"/>
  <c r="E9" i="5"/>
  <c r="C17" i="6"/>
  <c r="G19" i="4"/>
  <c r="E22" i="6" s="1"/>
  <c r="G6" i="5"/>
  <c r="E19" i="4"/>
  <c r="C22" i="6" s="1"/>
  <c r="E6" i="5"/>
  <c r="F30" i="4"/>
  <c r="F7" i="5"/>
  <c r="F16" i="5"/>
  <c r="F17" i="5" s="1"/>
  <c r="D16" i="6"/>
  <c r="D21" i="6" s="1"/>
  <c r="D7" i="5"/>
  <c r="D30" i="4"/>
  <c r="D16" i="5"/>
  <c r="C16" i="5"/>
  <c r="C7" i="5"/>
  <c r="C30" i="4"/>
  <c r="C35" i="4" s="1"/>
  <c r="H6" i="5"/>
  <c r="H19" i="4"/>
  <c r="F22" i="6" s="1"/>
  <c r="F6" i="5"/>
  <c r="F19" i="4"/>
  <c r="D22" i="6" s="1"/>
  <c r="D19" i="4"/>
  <c r="D6" i="5"/>
  <c r="F18" i="6"/>
  <c r="H30" i="4"/>
  <c r="G9" i="5"/>
  <c r="E17" i="6"/>
  <c r="E30" i="4"/>
  <c r="E7" i="5"/>
  <c r="E16" i="5"/>
  <c r="C16" i="6"/>
  <c r="E16" i="6"/>
  <c r="E21" i="6" s="1"/>
  <c r="G16" i="5"/>
  <c r="G17" i="5" s="1"/>
  <c r="G7" i="5"/>
  <c r="G30" i="4"/>
  <c r="E17" i="5"/>
  <c r="H17" i="5"/>
  <c r="C8" i="5"/>
  <c r="C19" i="4"/>
  <c r="I29" i="4"/>
  <c r="I28" i="4"/>
  <c r="C29" i="6"/>
  <c r="D29" i="6"/>
  <c r="I10" i="4"/>
  <c r="I27" i="4" s="1"/>
  <c r="E29" i="6"/>
  <c r="C27" i="6"/>
  <c r="C32" i="6" s="1"/>
  <c r="C34" i="6" s="1"/>
  <c r="E27" i="6"/>
  <c r="I6" i="4"/>
  <c r="C33" i="6"/>
  <c r="D33" i="6"/>
  <c r="E33" i="6"/>
  <c r="D27" i="6"/>
  <c r="D28" i="6"/>
  <c r="I7" i="4"/>
  <c r="C28" i="6"/>
  <c r="E28" i="6"/>
  <c r="D23" i="6" l="1"/>
  <c r="F21" i="6"/>
  <c r="F23" i="6" s="1"/>
  <c r="C21" i="6"/>
  <c r="C23" i="6" s="1"/>
  <c r="H35" i="4"/>
  <c r="H34" i="4"/>
  <c r="E34" i="4"/>
  <c r="E35" i="4"/>
  <c r="G35" i="4"/>
  <c r="G34" i="4"/>
  <c r="C34" i="4"/>
  <c r="E23" i="6"/>
  <c r="F34" i="4"/>
  <c r="F35" i="4"/>
  <c r="D34" i="4"/>
  <c r="D35" i="4"/>
  <c r="J29" i="4"/>
  <c r="G20" i="6"/>
  <c r="H20" i="6" s="1"/>
  <c r="J28" i="4"/>
  <c r="G19" i="6"/>
  <c r="H19" i="6" s="1"/>
  <c r="J27" i="4"/>
  <c r="G18" i="6"/>
  <c r="H18" i="6" s="1"/>
  <c r="I17" i="4"/>
  <c r="I25" i="4"/>
  <c r="I18" i="4"/>
  <c r="I26" i="4"/>
  <c r="E32" i="6"/>
  <c r="E34" i="6" s="1"/>
  <c r="D32" i="6"/>
  <c r="D34" i="6" s="1"/>
  <c r="J17" i="4" l="1"/>
  <c r="I19" i="4"/>
  <c r="I6" i="5"/>
  <c r="J25" i="4"/>
  <c r="I30" i="4"/>
  <c r="I7" i="5"/>
  <c r="C11" i="6" s="1"/>
  <c r="I16" i="5"/>
  <c r="I17" i="5" s="1"/>
  <c r="G16" i="6"/>
  <c r="J18" i="4"/>
  <c r="I8" i="5"/>
  <c r="J26" i="4"/>
  <c r="I9" i="5"/>
  <c r="C12" i="6" s="1"/>
  <c r="G17" i="6"/>
  <c r="H17" i="6" s="1"/>
  <c r="C10" i="6"/>
  <c r="J19" i="4" l="1"/>
  <c r="C6" i="6" s="1"/>
  <c r="G22" i="6"/>
  <c r="H22" i="6" s="1"/>
  <c r="J30" i="4"/>
  <c r="C5" i="6" s="1"/>
  <c r="I34" i="4"/>
  <c r="I35" i="4"/>
  <c r="C8" i="6"/>
  <c r="H16" i="6"/>
  <c r="G21" i="6"/>
  <c r="J34" i="4" l="1"/>
  <c r="C7" i="6" s="1"/>
  <c r="C9" i="6"/>
  <c r="H21" i="6"/>
  <c r="G23" i="6"/>
  <c r="H2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100-000001000000}">
      <text>
        <r>
          <rPr>
            <sz val="10"/>
            <rFont val="Arial"/>
            <family val="2"/>
          </rPr>
          <t>Omdia Tbl 7.4, World readers by type, Smart Card row</t>
        </r>
      </text>
    </comment>
    <comment ref="B7" authorId="0" shapeId="0" xr:uid="{00000000-0006-0000-0100-000002000000}">
      <text>
        <r>
          <rPr>
            <sz val="10"/>
            <rFont val="Arial"/>
            <family val="2"/>
          </rPr>
          <t>Omdia Tbl 7.4, Bluetooth row. Fastest-growing reader segment.</t>
        </r>
      </text>
    </comment>
    <comment ref="B8" authorId="0" shapeId="0" xr:uid="{00000000-0006-0000-0100-000003000000}">
      <text>
        <r>
          <rPr>
            <sz val="10"/>
            <rFont val="Arial"/>
            <family val="2"/>
          </rPr>
          <t>Omdia Tbl 7.4, Multi-technology row</t>
        </r>
      </text>
    </comment>
    <comment ref="B9" authorId="0" shapeId="0" xr:uid="{00000000-0006-0000-0100-000004000000}">
      <text>
        <r>
          <rPr>
            <sz val="10"/>
            <rFont val="Arial"/>
            <family val="2"/>
          </rPr>
          <t>Omdia Tbl 7.4, Biometric row</t>
        </r>
      </text>
    </comment>
    <comment ref="B10" authorId="0" shapeId="0" xr:uid="{00000000-0006-0000-0100-000005000000}">
      <text>
        <r>
          <rPr>
            <sz val="10"/>
            <rFont val="Arial"/>
            <family val="2"/>
          </rPr>
          <t>Omdia Tbl 7.4, Proximity row. Legacy/closed-prox pool in structural decline.</t>
        </r>
      </text>
    </comment>
    <comment ref="B11" authorId="0" shapeId="0" xr:uid="{00000000-0006-0000-0100-000006000000}">
      <text>
        <r>
          <rPr>
            <sz val="10"/>
            <rFont val="Arial"/>
            <family val="2"/>
          </rPr>
          <t>Omdia Tbl 7.4, Magnetic Stripe row</t>
        </r>
      </text>
    </comment>
    <comment ref="B13" authorId="0" shapeId="0" xr:uid="{00000000-0006-0000-0100-000007000000}">
      <text>
        <r>
          <rPr>
            <sz val="10"/>
            <rFont val="Arial"/>
            <family val="2"/>
          </rPr>
          <t>Segments contestable via open standards: Smart Card + Bluetooth + Multi-technology. Excludes legacy Proximity/Mag-stripe (declining) and Biometric (separate modality).</t>
        </r>
      </text>
    </comment>
    <comment ref="B17" authorId="0" shapeId="0" xr:uid="{00000000-0006-0000-0100-000008000000}">
      <text>
        <r>
          <rPr>
            <sz val="10"/>
            <rFont val="Arial"/>
            <family val="2"/>
          </rPr>
          <t>Omdia Tbl 7.14, 13.56-MHz Smart Cards row</t>
        </r>
      </text>
    </comment>
    <comment ref="B18" authorId="0" shapeId="0" xr:uid="{00000000-0006-0000-0100-000009000000}">
      <text>
        <r>
          <rPr>
            <sz val="10"/>
            <rFont val="Arial"/>
            <family val="2"/>
          </rPr>
          <t>Omdia Tbl 7.14, Mobile Credentials row. 22% CAGR — the growth engine.</t>
        </r>
      </text>
    </comment>
    <comment ref="B19" authorId="0" shapeId="0" xr:uid="{00000000-0006-0000-0100-00000A000000}">
      <text>
        <r>
          <rPr>
            <sz val="10"/>
            <rFont val="Arial"/>
            <family val="2"/>
          </rPr>
          <t>Omdia Tbl 7.14, 125-kHz Prox row. Legacy closed-prox in decline.</t>
        </r>
      </text>
    </comment>
    <comment ref="B20" authorId="0" shapeId="0" xr:uid="{00000000-0006-0000-0100-00000B000000}">
      <text>
        <r>
          <rPr>
            <sz val="10"/>
            <rFont val="Arial"/>
            <family val="2"/>
          </rPr>
          <t>Omdia Tbl 7.14, Electronic Keys row (lock-specific)</t>
        </r>
      </text>
    </comment>
    <comment ref="B21" authorId="0" shapeId="0" xr:uid="{00000000-0006-0000-0100-00000C000000}">
      <text>
        <r>
          <rPr>
            <sz val="10"/>
            <rFont val="Arial"/>
            <family val="2"/>
          </rPr>
          <t>Omdia Tbl 7.14, Active Transponders row</t>
        </r>
      </text>
    </comment>
    <comment ref="B22" authorId="0" shapeId="0" xr:uid="{00000000-0006-0000-0100-00000D000000}">
      <text>
        <r>
          <rPr>
            <sz val="10"/>
            <rFont val="Arial"/>
            <family val="2"/>
          </rPr>
          <t>Omdia Tbl 7.14, Magnetic Stripe row</t>
        </r>
      </text>
    </comment>
    <comment ref="B24" authorId="0" shapeId="0" xr:uid="{00000000-0006-0000-0100-00000E000000}">
      <text>
        <r>
          <rPr>
            <sz val="10"/>
            <rFont val="Arial"/>
            <family val="2"/>
          </rPr>
          <t>Contestable via open standards: 13.56-MHz Smart Cards + Mobile Credentials. Excludes legacy prox/mag-stripe (declining), electronic keys &amp; active transponders (lock-specific).</t>
        </r>
      </text>
    </comment>
    <comment ref="B28" authorId="0" shapeId="0" xr:uid="{00000000-0006-0000-0100-00000F000000}">
      <text>
        <r>
          <rPr>
            <sz val="10"/>
            <rFont val="Arial"/>
            <family val="2"/>
          </rPr>
          <t>Omdia Tbl 7.15 (000s) ÷1000 → millions</t>
        </r>
      </text>
    </comment>
    <comment ref="B29" authorId="0" shapeId="0" xr:uid="{00000000-0006-0000-0100-000010000000}">
      <text>
        <r>
          <rPr>
            <sz val="10"/>
            <rFont val="Arial"/>
            <family val="2"/>
          </rPr>
          <t>Omdia Tbl 7.15 (000s) ÷1000 → millions</t>
        </r>
      </text>
    </comment>
    <comment ref="B34" authorId="0" shapeId="0" xr:uid="{00000000-0006-0000-0100-000011000000}">
      <text>
        <r>
          <rPr>
            <sz val="10"/>
            <rFont val="Arial"/>
            <family val="2"/>
          </rPr>
          <t>Omdia MS7.9/MS7.3/MS7.4 — the dominant closed ecosystem (iCLASS/Seos/Origo).</t>
        </r>
      </text>
    </comment>
    <comment ref="B35" authorId="0" shapeId="0" xr:uid="{00000000-0006-0000-0100-000012000000}">
      <text>
        <r>
          <rPr>
            <sz val="10"/>
            <rFont val="Arial"/>
            <family val="2"/>
          </rPr>
          <t>Omdia MS7.9 #2 credentials, MS7.3 #6 readers, MS7.4 #5 smart-card readers.</t>
        </r>
      </text>
    </comment>
    <comment ref="B36" authorId="0" shapeId="0" xr:uid="{00000000-0006-0000-0100-000013000000}">
      <text>
        <r>
          <rPr>
            <sz val="10"/>
            <rFont val="Arial"/>
            <family val="2"/>
          </rPr>
          <t>Omdia</t>
        </r>
      </text>
    </comment>
    <comment ref="B37" authorId="0" shapeId="0" xr:uid="{00000000-0006-0000-0100-000014000000}">
      <text>
        <r>
          <rPr>
            <sz val="10"/>
            <rFont val="Arial"/>
            <family val="2"/>
          </rPr>
          <t>Omdia</t>
        </r>
      </text>
    </comment>
    <comment ref="B38" authorId="0" shapeId="0" xr:uid="{00000000-0006-0000-0100-000015000000}">
      <text>
        <r>
          <rPr>
            <sz val="10"/>
            <rFont val="Arial"/>
            <family val="2"/>
          </rPr>
          <t>Omdia</t>
        </r>
      </text>
    </comment>
    <comment ref="B39" authorId="0" shapeId="0" xr:uid="{00000000-0006-0000-0100-000016000000}">
      <text>
        <r>
          <rPr>
            <sz val="10"/>
            <rFont val="Arial"/>
            <family val="2"/>
          </rPr>
          <t>Omdia — the open, contestable long tail.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200-00000C000000}">
      <text>
        <r>
          <rPr>
            <sz val="10"/>
            <rFont val="Arial"/>
            <family val="2"/>
          </rPr>
          <t>Type 1, 2 or 3. Everything downstream recalculates from this switch.</t>
        </r>
      </text>
    </comment>
    <comment ref="B7" authorId="0" shapeId="0" xr:uid="{00000000-0006-0000-0200-000001000000}">
      <text>
        <r>
          <rPr>
            <sz val="10"/>
            <rFont val="Arial"/>
            <family val="2"/>
          </rPr>
          <t>ESTIMATE (inference, not Omdia): ~7.9% of the open-addressable pool. Reconciles to Omdia MS7.9 ~5.0% of the TOTAL credential market, concentrated in 13.56-MHz + mobile. Held flat = status-quo counterfactual.</t>
        </r>
      </text>
    </comment>
    <comment ref="B8" authorId="0" shapeId="0" xr:uid="{00000000-0006-0000-0200-000002000000}">
      <text>
        <r>
          <rPr>
            <sz val="10"/>
            <rFont val="Arial"/>
            <family val="2"/>
          </rPr>
          <t>Target share of open-addressable credential TAM by 2030; ramped 2026-2030. Base 12% ≈ 9.0% of the total credential market blended.</t>
        </r>
      </text>
    </comment>
    <comment ref="B9" authorId="0" shapeId="0" xr:uid="{00000000-0006-0000-0200-000003000000}">
      <text>
        <r>
          <rPr>
            <sz val="10"/>
            <rFont val="Arial"/>
            <family val="2"/>
          </rPr>
          <t>ESTIMATE (inference, not Omdia): ~7.5% of the open-addressable reader pool. Reconciles to Omdia MS7.3 ~4.1% of the TOTAL reader market (Allegion reader revenue sits mostly in smart-card + multi-tech). Held flat.</t>
        </r>
      </text>
    </comment>
    <comment ref="B10" authorId="0" shapeId="0" xr:uid="{00000000-0006-0000-0200-000004000000}">
      <text>
        <r>
          <rPr>
            <sz val="10"/>
            <rFont val="Arial"/>
            <family val="2"/>
          </rPr>
          <t>Target share of open-addressable reader TAM (Smart Card + BT + Multi-tech) by 2030; ramped 2026-2030. Base 11% ≈ 6.6% of the total reader market blended.</t>
        </r>
      </text>
    </comment>
    <comment ref="B12" authorId="0" shapeId="0" xr:uid="{00000000-0006-0000-0200-000005000000}">
      <text>
        <r>
          <rPr>
            <sz val="10"/>
            <rFont val="Arial"/>
            <family val="2"/>
          </rPr>
          <t>Share of ALL open (Aliro/PKOC) credentials in market for which Allegion is the certificate/trust anchor — including third-party readers/credentials. Brand-neutral infrastructure play.</t>
        </r>
      </text>
    </comment>
    <comment ref="B13" authorId="0" shapeId="0" xr:uid="{00000000-0006-0000-0200-000006000000}">
      <text>
        <r>
          <rPr>
            <sz val="10"/>
            <rFont val="Arial"/>
            <family val="2"/>
          </rPr>
          <t>Recurring annual PKI/trust-validation fee per open credential Allegion anchors. Illustrative.</t>
        </r>
      </text>
    </comment>
    <comment ref="B14" authorId="0" shapeId="0" xr:uid="{00000000-0006-0000-0200-000007000000}">
      <text>
        <r>
          <rPr>
            <sz val="10"/>
            <rFont val="Arial"/>
            <family val="2"/>
          </rPr>
          <t>Share of new open MOBILE credentials issued/orchestrated through Allegion each year.</t>
        </r>
      </text>
    </comment>
    <comment ref="B15" authorId="0" shapeId="0" xr:uid="{00000000-0006-0000-0200-000008000000}">
      <text>
        <r>
          <rPr>
            <sz val="10"/>
            <rFont val="Arial"/>
            <family val="2"/>
          </rPr>
          <t>Per-issuance service fee for provisioning an open credential into a wallet. Layered on the credential SKU.</t>
        </r>
      </text>
    </comment>
    <comment ref="B16" authorId="0" shapeId="0" xr:uid="{00000000-0006-0000-0200-000009000000}">
      <text>
        <r>
          <rPr>
            <sz val="10"/>
            <rFont val="Arial"/>
            <family val="2"/>
          </rPr>
          <t>Share of open mobile credentials Allegion enables in Apple/Google/Allegion wallets.</t>
        </r>
      </text>
    </comment>
    <comment ref="B17" authorId="0" shapeId="0" xr:uid="{00000000-0006-0000-0200-00000A000000}">
      <text>
        <r>
          <rPr>
            <sz val="10"/>
            <rFont val="Arial"/>
            <family val="2"/>
          </rPr>
          <t>Recurring annual wallet-enablement platform fee per credential-in-wallet. Illustrative.</t>
        </r>
      </text>
    </comment>
    <comment ref="B19" authorId="0" shapeId="0" xr:uid="{00000000-0006-0000-0200-00000B000000}">
      <text>
        <r>
          <rPr>
            <sz val="10"/>
            <rFont val="Arial"/>
            <family val="2"/>
          </rPr>
          <t>Modelled erosion of the dominant closed ecosystem from 33.6% (Omdia 2024) as open standards commoditise interop.</t>
        </r>
      </text>
    </comment>
  </commentList>
</comments>
</file>

<file path=xl/sharedStrings.xml><?xml version="1.0" encoding="utf-8"?>
<sst xmlns="http://schemas.openxmlformats.org/spreadsheetml/2006/main" count="312" uniqueCount="203">
  <si>
    <t>ALLEGION  |  Open Access-Control Ecosystem</t>
  </si>
  <si>
    <t>Five-Year Credential &amp; Reader Share and Revenue Growth Model</t>
  </si>
  <si>
    <t>The thesis</t>
  </si>
  <si>
    <t>Today one closed ecosystem dominates the credential value pool: ASSA ABLOY / HID holds ~33.6% of world credential revenue (Omdia 2024), while Allegion holds ~5.0%. Open standards — Aliro (the industry mobile access standard) and PKOC (Public Key Open Credential) — commoditise the credential-to-reader trust layer that closed systems monetise privately. That lets Allegion contest the whole stack with an OPEN full-stack offer, and monetise value pools that do not exist for it today.</t>
  </si>
  <si>
    <t>The open stack Allegion can sell — any part, or all</t>
  </si>
  <si>
    <t>1. Credentials</t>
  </si>
  <si>
    <t>13.56-MHz smart cards + mobile credentials on open profiles (Aliro / PKOC), not locked to one reader brand.</t>
  </si>
  <si>
    <t>2. Certificate / Trust Services</t>
  </si>
  <si>
    <t>PKI trust-anchor as-a-service: issues &amp; validates the certificates that make PKOC/Aliro credentials trustable. Recurring, high-margin, brand-neutral — Allegion can anchor trust even for third-party readers and credentials.</t>
  </si>
  <si>
    <t>3. Credential Issuance</t>
  </si>
  <si>
    <t>Lifecycle issuance &amp; orchestration service that provisions open credentials into any wallet. Per-issuance service fee layered on the credential.</t>
  </si>
  <si>
    <t>4. Wallet</t>
  </si>
  <si>
    <t>Enablement of open credentials in Apple / Google wallets (and an Allegion wallet). Per-credential platform fee.</t>
  </si>
  <si>
    <t>5. Readers</t>
  </si>
  <si>
    <t>ELATEC + Schlage readers that accept ANY open credential — the multi-technology / Bluetooth / smart-card reader pool where growth is concentrated.</t>
  </si>
  <si>
    <t>How to use this workbook</t>
  </si>
  <si>
    <t>•</t>
  </si>
  <si>
    <t>Assumptions tab, cell C3 — set the scenario: 1 = Conservative, 2 = Base, 3 = Aggressive. Everything recalculates.</t>
  </si>
  <si>
    <t>All levers (blue text, tinted cells) live on the Assumptions tab. Change them and the whole model moves.</t>
  </si>
  <si>
    <t>Market (Omdia) tab holds the source market data (blue = Omdia figures; each carries a source note).</t>
  </si>
  <si>
    <t>Revenue Model tab builds Baseline (hold current share) vs Open Strategy across all five components.</t>
  </si>
  <si>
    <t>Share &amp; Disruption tab quantifies the share Allegion gains and the closed-ecosystem share it displaces.</t>
  </si>
  <si>
    <t>Dashboard tab is the one-page output with charts and an all-scenario snapshot.</t>
  </si>
  <si>
    <t>Colour key</t>
  </si>
  <si>
    <t>Blue text</t>
  </si>
  <si>
    <t>Hardcoded input / scenario lever — safe to edit</t>
  </si>
  <si>
    <t>Green text</t>
  </si>
  <si>
    <t>Link to another sheet — do not overwrite</t>
  </si>
  <si>
    <t>Black text</t>
  </si>
  <si>
    <t>Formula — do not overwrite</t>
  </si>
  <si>
    <t>Yellow cell</t>
  </si>
  <si>
    <t>Key assumption or the scenario switch</t>
  </si>
  <si>
    <t>Sources &amp; caveats</t>
  </si>
  <si>
    <t>Market sizes, growth and shares: Omdia Access Control Database 2025 (lead author B. Montany). Base actual year 2024; 2025-2029 Omdia forecast.</t>
  </si>
  <si>
    <t>2030 is a one-year extension of each Omdia segment at its 2029 year-over-year rate (labelled, editable on the Market tab).</t>
  </si>
  <si>
    <t>Certificate/Trust, Issuance and Wallet are NEW value pools not sized by Omdia. They are modelled bottom-up from open-credential volumes at editable fee assumptions — treat as illustrative planning ranges, not Omdia data.</t>
  </si>
  <si>
    <t>Share targets and adoption curves are strategy inputs, not forecasts. Figures are a planning model for discussion, not a commitment.</t>
  </si>
  <si>
    <t>MARKET FOUNDATION — Omdia Access Control Database 2025</t>
  </si>
  <si>
    <t>World, revenue in US$m unless noted. Blue = Omdia figures. 2030E* = 2029 × (1 + YoY'29), a one-year extension.</t>
  </si>
  <si>
    <t>World Readers — Revenue ($m)  [Omdia Table 7.4]</t>
  </si>
  <si>
    <t>Segment</t>
  </si>
  <si>
    <t>2024A</t>
  </si>
  <si>
    <t>2025E</t>
  </si>
  <si>
    <t>2026E</t>
  </si>
  <si>
    <t>2027E</t>
  </si>
  <si>
    <t>2028E</t>
  </si>
  <si>
    <t>2029E</t>
  </si>
  <si>
    <t>2030E*</t>
  </si>
  <si>
    <t>CAGR 24-29</t>
  </si>
  <si>
    <t>YoY '29 (ext.)</t>
  </si>
  <si>
    <t>Smart Card (13.56 MHz)</t>
  </si>
  <si>
    <t>Bluetooth</t>
  </si>
  <si>
    <t>Multi-technology</t>
  </si>
  <si>
    <t>Biometric</t>
  </si>
  <si>
    <t>Proximity (125 kHz) — declining</t>
  </si>
  <si>
    <t>Magnetic Stripe — declining</t>
  </si>
  <si>
    <t>Total readers (all types)</t>
  </si>
  <si>
    <t>Open-addressable reader TAM</t>
  </si>
  <si>
    <t>World Credentials — Revenue ($m)  [Omdia Table 7.14]</t>
  </si>
  <si>
    <t>13.56-MHz Smart Cards</t>
  </si>
  <si>
    <t>Mobile Credentials</t>
  </si>
  <si>
    <t>125-kHz Prox Cards — declining</t>
  </si>
  <si>
    <t>Electronic Keys</t>
  </si>
  <si>
    <t>Active Transponders</t>
  </si>
  <si>
    <t>Total credentials (all types)</t>
  </si>
  <si>
    <t>Open-addressable credential TAM</t>
  </si>
  <si>
    <t>World Credentials — Unit shipments (millions)  [Omdia Table 7.15]</t>
  </si>
  <si>
    <t>13.56-MHz Smart Cards (M units)</t>
  </si>
  <si>
    <t>Mobile Credentials (M units)</t>
  </si>
  <si>
    <t>Total open credential units (M)</t>
  </si>
  <si>
    <t>Market Shares 2024 — Revenue basis  [Omdia MS7.3 / MS7.4 / MS7.9]</t>
  </si>
  <si>
    <t>Company</t>
  </si>
  <si>
    <t>Credentials</t>
  </si>
  <si>
    <t>All Readers</t>
  </si>
  <si>
    <t>Smart-Card Readers</t>
  </si>
  <si>
    <t>ASSA ABLOY / HID</t>
  </si>
  <si>
    <t>Allegion</t>
  </si>
  <si>
    <t>Honeywell</t>
  </si>
  <si>
    <t>Dormakaba</t>
  </si>
  <si>
    <t>SALTO WECOSYSTEM</t>
  </si>
  <si>
    <t>Others (fragmented)</t>
  </si>
  <si>
    <t>Source: Omdia Access Control Database 2025 (lead author Bryan Montany). © 2025 Omdia.</t>
  </si>
  <si>
    <t>ASSUMPTIONS &amp; SCENARIO LEVERS</t>
  </si>
  <si>
    <t>Edit blue cells. Set the scenario in C3. Active column feeds the whole model.</t>
  </si>
  <si>
    <t>SCENARIO  (1=Conservative, 2=Base, 3=Aggressive)</t>
  </si>
  <si>
    <t>Lever</t>
  </si>
  <si>
    <t>Conservative</t>
  </si>
  <si>
    <t>Base</t>
  </si>
  <si>
    <t>Aggressive</t>
  </si>
  <si>
    <t>Active</t>
  </si>
  <si>
    <t>Notes</t>
  </si>
  <si>
    <t>— Core share strategy —</t>
  </si>
  <si>
    <t>Baseline Allegion credential share of open pool (flat)</t>
  </si>
  <si>
    <t>ESTIMATE (inference, not Omdia): ~7.9% of the open-addressable pool. Reconciles to Omdia MS7.9 ~5.0% of the TOTAL credential market, concentrated in 13.56-MHz + mobile. Held flat = status-quo counterfactual.</t>
  </si>
  <si>
    <t>Allegion credential share of open pool — 2030 target</t>
  </si>
  <si>
    <t>Target share of open-addressable credential TAM by 2030; ramped 2026-2030. Base 12% ≈ 9.0% of the total credential market blended.</t>
  </si>
  <si>
    <t>Baseline Allegion reader share of open pool (flat)</t>
  </si>
  <si>
    <t>ESTIMATE (inference, not Omdia): ~7.5% of the open-addressable reader pool. Reconciles to Omdia MS7.3 ~4.1% of the TOTAL reader market (Allegion reader revenue sits mostly in smart-card + multi-tech). Held flat.</t>
  </si>
  <si>
    <t>Allegion reader share of open pool — 2030 target</t>
  </si>
  <si>
    <t>Target share of open-addressable reader TAM (Smart Card + BT + Multi-tech) by 2030; ramped 2026-2030. Base 11% ≈ 6.6% of the total reader market blended.</t>
  </si>
  <si>
    <t>— New value pools (not in Omdia) —</t>
  </si>
  <si>
    <t>Trust-anchor share of open credentials — 2030</t>
  </si>
  <si>
    <t>Share of ALL open (Aliro/PKOC) credentials in market for which Allegion is the certificate/trust anchor — including third-party readers/credentials. Brand-neutral infrastructure play.</t>
  </si>
  <si>
    <t>Trust service fee ($/credential/yr)</t>
  </si>
  <si>
    <t>Recurring annual PKI/trust-validation fee per open credential Allegion anchors. Illustrative.</t>
  </si>
  <si>
    <t>Issuance share of open mobile credentials — 2030</t>
  </si>
  <si>
    <t>Share of new open MOBILE credentials issued/orchestrated through Allegion each year.</t>
  </si>
  <si>
    <t>Issuance fee ($/credential)</t>
  </si>
  <si>
    <t>Per-issuance service fee for provisioning an open credential into a wallet. Layered on the credential SKU.</t>
  </si>
  <si>
    <t>Wallet-enablement share of open mobile — 2030</t>
  </si>
  <si>
    <t>Share of open mobile credentials Allegion enables in Apple/Google/Allegion wallets.</t>
  </si>
  <si>
    <t>Wallet platform fee ($/credential/yr)</t>
  </si>
  <si>
    <t>Recurring annual wallet-enablement platform fee per credential-in-wallet. Illustrative.</t>
  </si>
  <si>
    <t>— Disruption of closed ecosystem —</t>
  </si>
  <si>
    <t>ASSA ABLOY / HID credential share — 2030</t>
  </si>
  <si>
    <t>Modelled erosion of the dominant closed ecosystem from 33.6% (Omdia 2024) as open standards commoditise interop.</t>
  </si>
  <si>
    <t>OPEN-STANDARD ADOPTION CURVE  (% of open-addressable deployments that are Aliro/PKOC-enabled)</t>
  </si>
  <si>
    <t>Scenario \ Year</t>
  </si>
  <si>
    <t>Active adoption</t>
  </si>
  <si>
    <t>SHARE RAMP WEIGHTS  (0 = base year, 1.0 = full target). Linear default — edit to reshape.</t>
  </si>
  <si>
    <t>Year</t>
  </si>
  <si>
    <t>Ramp weight</t>
  </si>
  <si>
    <t>New value pools (Trust / Issuance / Wallet) are bottom-up planning estimates, NOT Omdia data.</t>
  </si>
  <si>
    <t>REVENUE MODEL — Baseline vs Open Strategy ($m)</t>
  </si>
  <si>
    <t>Plan window shaded — 5-yr = 2026-2030</t>
  </si>
  <si>
    <t>1 — ADDRESSABLE MARKET &amp; DRIVERS</t>
  </si>
  <si>
    <t>US$m</t>
  </si>
  <si>
    <t>5-yr (26-30)</t>
  </si>
  <si>
    <t>Formula / basis</t>
  </si>
  <si>
    <t>Link → Market: 13.56 cards + mobile</t>
  </si>
  <si>
    <t>Link → Market: smart-card + BT + multi-tech</t>
  </si>
  <si>
    <t>Total credential market (all types)</t>
  </si>
  <si>
    <t>Link → Market</t>
  </si>
  <si>
    <t>Total reader market (all types)</t>
  </si>
  <si>
    <t>Link → Market (13.56 + mobile units)</t>
  </si>
  <si>
    <t>Open mobile credential units (M)</t>
  </si>
  <si>
    <t>Open-standard adoption %  (Aliro/PKOC)</t>
  </si>
  <si>
    <t>Link → Assumptions active adoption curve</t>
  </si>
  <si>
    <t>Share ramp weight</t>
  </si>
  <si>
    <t>Link → Assumptions ramp weights</t>
  </si>
  <si>
    <t>2 — BASELINE  (hold current share as market grows)</t>
  </si>
  <si>
    <t>Baseline credential revenue</t>
  </si>
  <si>
    <t>Open-pool TAM × est. current open-pool share (flat)</t>
  </si>
  <si>
    <t>Baseline reader revenue</t>
  </si>
  <si>
    <t>Baseline total (credentials + readers)</t>
  </si>
  <si>
    <t>3 — OPEN STRATEGY  (share ramp + new value pools)</t>
  </si>
  <si>
    <t xml:space="preserve">  Allegion credential share (ramped)</t>
  </si>
  <si>
    <t xml:space="preserve">  Allegion reader share (ramped)</t>
  </si>
  <si>
    <t>A. Credentials</t>
  </si>
  <si>
    <t>Open credential TAM × ramped share</t>
  </si>
  <si>
    <t>B. Readers</t>
  </si>
  <si>
    <t>Open reader TAM × ramped share</t>
  </si>
  <si>
    <t>C. Certificate / Trust Services</t>
  </si>
  <si>
    <t>Open cred units × adoption × trust-anchor share × fee/yr</t>
  </si>
  <si>
    <t>D. Credential Issuance</t>
  </si>
  <si>
    <t>Open mobile units × adoption × issuance share × fee</t>
  </si>
  <si>
    <t>E. Wallet</t>
  </si>
  <si>
    <t>Open mobile units × adoption × wallet share × fee/yr</t>
  </si>
  <si>
    <t>Open strategy total (A+B+C+D+E)</t>
  </si>
  <si>
    <t>4 — INCREMENTAL vs BASELINE</t>
  </si>
  <si>
    <t>Incremental revenue (Open − Baseline)</t>
  </si>
  <si>
    <t>New value pools as % of open total</t>
  </si>
  <si>
    <t>SHARE GAIN &amp; DISRUPTION OF THE CLOSED ECOSYSTEM</t>
  </si>
  <si>
    <t>1 — ALLEGION BLENDED SHARE  (of total market)</t>
  </si>
  <si>
    <t>Basis</t>
  </si>
  <si>
    <t>Credential share — Baseline</t>
  </si>
  <si>
    <t>Credential share — Open strategy</t>
  </si>
  <si>
    <t>Component A revenue ÷ total credential market</t>
  </si>
  <si>
    <t>Reader share — Baseline</t>
  </si>
  <si>
    <t>Reader share — Open strategy</t>
  </si>
  <si>
    <t>Component B revenue ÷ total reader market</t>
  </si>
  <si>
    <t>2 — DISPLACING THE CLOSED ECOSYSTEM (ASSA ABLOY / HID)</t>
  </si>
  <si>
    <t>HID credential share (2024 actual → 2030 target)</t>
  </si>
  <si>
    <t>33.6% (Omdia MS7.9) eroding to scenario 2030 target</t>
  </si>
  <si>
    <t>HID share points lost vs 2024</t>
  </si>
  <si>
    <t>Contestable value released ($m/yr)</t>
  </si>
  <si>
    <t>HID points lost × total credential market</t>
  </si>
  <si>
    <t>Allegion incremental credential rev ($m/yr)</t>
  </si>
  <si>
    <t>Allegion capture of released value</t>
  </si>
  <si>
    <t>Share of the freed-up value Allegion captures; the rest goes to the open long tail</t>
  </si>
  <si>
    <t>Read: open standards convert HID's private, closed-ecosystem premium into a contestable pool. Allegion captures a slice directly (credentials + readers) AND monetises the trust/issuance/wallet orchestration that the closed stack keeps in-house today.</t>
  </si>
  <si>
    <t>DASHBOARD — Allegion Open Ecosystem, 5-Year Plan</t>
  </si>
  <si>
    <t>HEADLINE (active scenario)</t>
  </si>
  <si>
    <t>5-yr Open-strategy revenue</t>
  </si>
  <si>
    <t>5-yr Baseline revenue</t>
  </si>
  <si>
    <t>5-yr INCREMENTAL revenue</t>
  </si>
  <si>
    <t>2030 exit run-rate (open)</t>
  </si>
  <si>
    <t>2030 incremental run-rate</t>
  </si>
  <si>
    <t>New value pools — 5-yr</t>
  </si>
  <si>
    <t>2030 credential share (blended)</t>
  </si>
  <si>
    <t>2030 reader share (blended)</t>
  </si>
  <si>
    <t>REVENUE BY COMPONENT — Open strategy ($m)</t>
  </si>
  <si>
    <t>Component</t>
  </si>
  <si>
    <t>5-yr</t>
  </si>
  <si>
    <t>C. Trust Services</t>
  </si>
  <si>
    <t>D. Issuance</t>
  </si>
  <si>
    <t>Open strategy total</t>
  </si>
  <si>
    <t>Baseline total</t>
  </si>
  <si>
    <t>Incremental</t>
  </si>
  <si>
    <t>ALL-SCENARIO SNAPSHOT — 2030 exit run-rate ($m)</t>
  </si>
  <si>
    <t>Metric</t>
  </si>
  <si>
    <t>Incremental vs baseline</t>
  </si>
  <si>
    <t>New value pools (Trust/Issuance/Wallet) are bottom-up planning estimates, not Omdia data. 2030E* extends Omdia's 2029 figure by one year. See Read Me for 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</si>
</sst>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;&quot;($&quot;#,##0.0\);\-"/>
    <numFmt numFmtId="165" formatCode="0.0%"/>
    <numFmt numFmtId="166" formatCode="#,##0.0"/>
    <numFmt numFmtId="167" formatCode="\$0.00"/>
    <numFmt numFmtId="168" formatCode="0.0"/>
    <numFmt numFmtId="169" formatCode="\$#,##0;&quot;($&quot;#,##0\);\-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b/>
      <sz val="10"/>
      <color rgb="FF2E5496"/>
      <name val="Arial"/>
      <charset val="1"/>
    </font>
    <font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9"/>
      <color rgb="FF0000FF"/>
      <name val="Arial"/>
      <charset val="1"/>
    </font>
    <font>
      <b/>
      <sz val="9"/>
      <color rgb="FF008000"/>
      <name val="Arial"/>
      <charset val="1"/>
    </font>
    <font>
      <b/>
      <sz val="9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000000"/>
      <name val="Arial"/>
      <charset val="1"/>
    </font>
    <font>
      <b/>
      <sz val="8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1F3864"/>
      <name val="Arial"/>
      <charset val="1"/>
    </font>
    <font>
      <i/>
      <sz val="8"/>
      <color rgb="FF000000"/>
      <name val="Arial"/>
      <charset val="1"/>
    </font>
    <font>
      <sz val="10"/>
      <name val="Arial"/>
      <family val="2"/>
    </font>
    <font>
      <b/>
      <sz val="12"/>
      <color rgb="FF0000FF"/>
      <name val="Arial"/>
      <charset val="1"/>
    </font>
    <font>
      <b/>
      <i/>
      <sz val="9"/>
      <color rgb="FF2E5496"/>
      <name val="Arial"/>
      <charset val="1"/>
    </font>
    <font>
      <sz val="8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C00000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sz val="9"/>
      <color rgb="FF008000"/>
      <name val="Arial"/>
      <charset val="1"/>
    </font>
    <font>
      <sz val="9"/>
      <color rgb="FF808080"/>
      <name val="Arial"/>
      <charset val="1"/>
    </font>
    <font>
      <b/>
      <sz val="10"/>
      <color rgb="FFC00000"/>
      <name val="Arial"/>
      <charset val="1"/>
    </font>
    <font>
      <b/>
      <sz val="11"/>
      <color rgb="FFC00000"/>
      <name val="Arial"/>
      <charset val="1"/>
    </font>
    <font>
      <sz val="9"/>
      <color rgb="FF1F3864"/>
      <name val="Arial"/>
      <charset val="1"/>
    </font>
    <font>
      <sz val="9"/>
      <color rgb="FFC00000"/>
      <name val="Arial"/>
      <charset val="1"/>
    </font>
    <font>
      <b/>
      <sz val="9"/>
      <color rgb="FFC00000"/>
      <name val="Arial"/>
      <charset val="1"/>
    </font>
    <font>
      <i/>
      <sz val="9"/>
      <color rgb="FF1F3864"/>
      <name val="Arial"/>
      <charset val="1"/>
    </font>
    <font>
      <b/>
      <sz val="10"/>
      <color rgb="FF008000"/>
      <name val="Arial"/>
      <charset val="1"/>
    </font>
    <font>
      <b/>
      <sz val="11"/>
      <color rgb="FF008000"/>
      <name val="Arial"/>
      <charset val="1"/>
    </font>
    <font>
      <i/>
      <sz val="8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9E6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6" fillId="0" borderId="0" xfId="0" applyFont="1" applyAlignment="1">
      <alignment vertical="center" wrapText="1"/>
    </xf>
    <xf numFmtId="165" fontId="34" fillId="0" borderId="1" xfId="0" applyNumberFormat="1" applyFont="1" applyBorder="1" applyAlignment="1">
      <alignment vertical="center"/>
    </xf>
    <xf numFmtId="169" fontId="35" fillId="4" borderId="1" xfId="0" applyNumberFormat="1" applyFont="1" applyFill="1" applyBorder="1" applyAlignment="1">
      <alignment vertical="center"/>
    </xf>
    <xf numFmtId="169" fontId="34" fillId="0" borderId="1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8" fillId="0" borderId="1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4" fontId="15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164" fontId="11" fillId="6" borderId="1" xfId="0" applyNumberFormat="1" applyFont="1" applyFill="1" applyBorder="1" applyAlignment="1">
      <alignment vertical="center"/>
    </xf>
    <xf numFmtId="165" fontId="11" fillId="6" borderId="1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164" fontId="16" fillId="5" borderId="1" xfId="0" applyNumberFormat="1" applyFont="1" applyFill="1" applyBorder="1" applyAlignment="1">
      <alignment vertical="center"/>
    </xf>
    <xf numFmtId="166" fontId="15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6" fontId="11" fillId="6" borderId="1" xfId="0" applyNumberFormat="1" applyFont="1" applyFill="1" applyBorder="1" applyAlignment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165" fontId="15" fillId="7" borderId="1" xfId="0" applyNumberFormat="1" applyFont="1" applyFill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167" fontId="15" fillId="7" borderId="1" xfId="0" applyNumberFormat="1" applyFont="1" applyFill="1" applyBorder="1" applyAlignment="1">
      <alignment vertical="center"/>
    </xf>
    <xf numFmtId="167" fontId="16" fillId="0" borderId="1" xfId="0" applyNumberFormat="1" applyFont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165" fontId="16" fillId="4" borderId="1" xfId="0" applyNumberFormat="1" applyFont="1" applyFill="1" applyBorder="1" applyAlignment="1">
      <alignment vertical="center"/>
    </xf>
    <xf numFmtId="168" fontId="15" fillId="7" borderId="1" xfId="0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25" fillId="3" borderId="0" xfId="0" applyFont="1" applyFill="1" applyAlignment="1">
      <alignment vertical="center"/>
    </xf>
    <xf numFmtId="164" fontId="26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66" fontId="26" fillId="0" borderId="1" xfId="0" applyNumberFormat="1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165" fontId="26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vertical="center"/>
    </xf>
    <xf numFmtId="168" fontId="26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28" fillId="0" borderId="1" xfId="0" applyNumberFormat="1" applyFont="1" applyBorder="1" applyAlignment="1">
      <alignment vertical="center"/>
    </xf>
    <xf numFmtId="164" fontId="29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5" fontId="30" fillId="0" borderId="1" xfId="0" applyNumberFormat="1" applyFont="1" applyBorder="1" applyAlignment="1">
      <alignment vertical="center"/>
    </xf>
    <xf numFmtId="165" fontId="31" fillId="0" borderId="1" xfId="0" applyNumberFormat="1" applyFont="1" applyBorder="1" applyAlignment="1">
      <alignment vertical="center"/>
    </xf>
    <xf numFmtId="164" fontId="32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164" fontId="32" fillId="4" borderId="1" xfId="0" applyNumberFormat="1" applyFont="1" applyFill="1" applyBorder="1" applyAlignment="1">
      <alignment vertical="center"/>
    </xf>
    <xf numFmtId="0" fontId="28" fillId="4" borderId="1" xfId="0" applyFont="1" applyFill="1" applyBorder="1" applyAlignment="1">
      <alignment vertical="center"/>
    </xf>
    <xf numFmtId="164" fontId="28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9E6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Open-Strategy Revenue by Component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A. Credentials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Dashboard!$C$15:$G$15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2030E*</c:v>
                </c:pt>
              </c:strCache>
            </c:strRef>
          </c:cat>
          <c:val>
            <c:numRef>
              <c:f>Dashboard!$C$16:$G$16</c:f>
              <c:numCache>
                <c:formatCode>\$#,##0.0;"($"#,##0.0\);\-</c:formatCode>
                <c:ptCount val="5"/>
                <c:pt idx="0">
                  <c:v>46.748792000000002</c:v>
                </c:pt>
                <c:pt idx="1">
                  <c:v>55.443618000000008</c:v>
                </c:pt>
                <c:pt idx="2">
                  <c:v>65.055620000000005</c:v>
                </c:pt>
                <c:pt idx="3">
                  <c:v>75.362144000000001</c:v>
                </c:pt>
                <c:pt idx="4">
                  <c:v>87.212795999999997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3-4952-8F98-8BA00F7DE26D}"/>
            </c:ext>
          </c:extLst>
        </c:ser>
        <c:ser>
          <c:idx val="1"/>
          <c:order val="1"/>
          <c:tx>
            <c:v>B. Readers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Dashboard!$C$15:$G$15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2030E*</c:v>
                </c:pt>
              </c:strCache>
            </c:strRef>
          </c:cat>
          <c:val>
            <c:numRef>
              <c:f>Dashboard!$C$17:$G$17</c:f>
              <c:numCache>
                <c:formatCode>\$#,##0.0;"($"#,##0.0\);\-</c:formatCode>
                <c:ptCount val="5"/>
                <c:pt idx="0">
                  <c:v>62.551240000000007</c:v>
                </c:pt>
                <c:pt idx="1">
                  <c:v>72.907020000000003</c:v>
                </c:pt>
                <c:pt idx="2">
                  <c:v>83.525759999999991</c:v>
                </c:pt>
                <c:pt idx="3">
                  <c:v>94.980420000000024</c:v>
                </c:pt>
                <c:pt idx="4">
                  <c:v>107.435383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03-4952-8F98-8BA00F7DE26D}"/>
            </c:ext>
          </c:extLst>
        </c:ser>
        <c:ser>
          <c:idx val="2"/>
          <c:order val="2"/>
          <c:tx>
            <c:v>C. Trust Services</c:v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Dashboard!$C$15:$G$15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2030E*</c:v>
                </c:pt>
              </c:strCache>
            </c:strRef>
          </c:cat>
          <c:val>
            <c:numRef>
              <c:f>Dashboard!$C$18:$G$18</c:f>
              <c:numCache>
                <c:formatCode>\$#,##0.0;"($"#,##0.0\);\-</c:formatCode>
                <c:ptCount val="5"/>
                <c:pt idx="0">
                  <c:v>0.64491200000000015</c:v>
                </c:pt>
                <c:pt idx="1">
                  <c:v>2.7701120000000001</c:v>
                </c:pt>
                <c:pt idx="2">
                  <c:v>7.4835900000000004</c:v>
                </c:pt>
                <c:pt idx="3">
                  <c:v>15.566400000000007</c:v>
                </c:pt>
                <c:pt idx="4">
                  <c:v>28.18627900000001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03-4952-8F98-8BA00F7DE26D}"/>
            </c:ext>
          </c:extLst>
        </c:ser>
        <c:ser>
          <c:idx val="3"/>
          <c:order val="3"/>
          <c:tx>
            <c:v>D. Issuance</c:v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Dashboard!$C$15:$G$15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2030E*</c:v>
                </c:pt>
              </c:strCache>
            </c:strRef>
          </c:cat>
          <c:val>
            <c:numRef>
              <c:f>Dashboard!$C$19:$G$19</c:f>
              <c:numCache>
                <c:formatCode>\$#,##0.0;"($"#,##0.0\);\-</c:formatCode>
                <c:ptCount val="5"/>
                <c:pt idx="0">
                  <c:v>0.30531600000000003</c:v>
                </c:pt>
                <c:pt idx="1">
                  <c:v>1.3801680000000001</c:v>
                </c:pt>
                <c:pt idx="2">
                  <c:v>3.8919487500000001</c:v>
                </c:pt>
                <c:pt idx="3">
                  <c:v>8.3822399999999995</c:v>
                </c:pt>
                <c:pt idx="4">
                  <c:v>15.703602750000003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03-4952-8F98-8BA00F7DE26D}"/>
            </c:ext>
          </c:extLst>
        </c:ser>
        <c:ser>
          <c:idx val="4"/>
          <c:order val="4"/>
          <c:tx>
            <c:v>E. Wallet</c:v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Dashboard!$C$15:$G$15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2030E*</c:v>
                </c:pt>
              </c:strCache>
            </c:strRef>
          </c:cat>
          <c:val>
            <c:numRef>
              <c:f>Dashboard!$C$20:$G$20</c:f>
              <c:numCache>
                <c:formatCode>\$#,##0.0;"($"#,##0.0\);\-</c:formatCode>
                <c:ptCount val="5"/>
                <c:pt idx="0">
                  <c:v>0.19540224</c:v>
                </c:pt>
                <c:pt idx="1">
                  <c:v>0.88330752000000001</c:v>
                </c:pt>
                <c:pt idx="2">
                  <c:v>2.4908472000000002</c:v>
                </c:pt>
                <c:pt idx="3">
                  <c:v>5.3646336000000012</c:v>
                </c:pt>
                <c:pt idx="4">
                  <c:v>10.050305760000002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03-4952-8F98-8BA00F7DE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03935"/>
        <c:axId val="68038114"/>
      </c:barChart>
      <c:catAx>
        <c:axId val="59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38114"/>
        <c:crosses val="autoZero"/>
        <c:auto val="1"/>
        <c:lblAlgn val="ctr"/>
        <c:lblOffset val="100"/>
        <c:noMultiLvlLbl val="0"/>
      </c:catAx>
      <c:valAx>
        <c:axId val="68038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3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Baseline vs Open Strategy — Total Revenue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Baseline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(Omdia)'!$C$5:$I$5</c:f>
              <c:strCache>
                <c:ptCount val="7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2030E*</c:v>
                </c:pt>
              </c:strCache>
            </c:strRef>
          </c:cat>
          <c:val>
            <c:numRef>
              <c:f>'Revenue Model'!$C$19:$I$19</c:f>
              <c:numCache>
                <c:formatCode>\$#,##0.0;"($"#,##0.0\);\-</c:formatCode>
                <c:ptCount val="7"/>
                <c:pt idx="0">
                  <c:v>86.39837</c:v>
                </c:pt>
                <c:pt idx="1">
                  <c:v>92.61318</c:v>
                </c:pt>
                <c:pt idx="2">
                  <c:v>99.564189999999996</c:v>
                </c:pt>
                <c:pt idx="3">
                  <c:v>107.35093000000001</c:v>
                </c:pt>
                <c:pt idx="4">
                  <c:v>114.86255</c:v>
                </c:pt>
                <c:pt idx="5">
                  <c:v>122.41282000000001</c:v>
                </c:pt>
                <c:pt idx="6">
                  <c:v>130.6664882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BF-42CC-A5CC-F2DBBFFEA00F}"/>
            </c:ext>
          </c:extLst>
        </c:ser>
        <c:ser>
          <c:idx val="1"/>
          <c:order val="1"/>
          <c:tx>
            <c:v>Open strategy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(Omdia)'!$C$5:$I$5</c:f>
              <c:strCache>
                <c:ptCount val="7"/>
                <c:pt idx="0">
                  <c:v>2024A</c:v>
                </c:pt>
                <c:pt idx="1">
                  <c:v>2025E</c:v>
                </c:pt>
                <c:pt idx="2">
                  <c:v>2026E</c:v>
                </c:pt>
                <c:pt idx="3">
                  <c:v>2027E</c:v>
                </c:pt>
                <c:pt idx="4">
                  <c:v>2028E</c:v>
                </c:pt>
                <c:pt idx="5">
                  <c:v>2029E</c:v>
                </c:pt>
                <c:pt idx="6">
                  <c:v>2030E*</c:v>
                </c:pt>
              </c:strCache>
            </c:strRef>
          </c:cat>
          <c:val>
            <c:numRef>
              <c:f>'Revenue Model'!$C$30:$I$30</c:f>
              <c:numCache>
                <c:formatCode>\$#,##0.0;"($"#,##0.0\);\-</c:formatCode>
                <c:ptCount val="7"/>
                <c:pt idx="0">
                  <c:v>86.39837</c:v>
                </c:pt>
                <c:pt idx="1">
                  <c:v>92.61318</c:v>
                </c:pt>
                <c:pt idx="2">
                  <c:v>110.44566224000003</c:v>
                </c:pt>
                <c:pt idx="3">
                  <c:v>133.38422552</c:v>
                </c:pt>
                <c:pt idx="4">
                  <c:v>162.44776594999999</c:v>
                </c:pt>
                <c:pt idx="5">
                  <c:v>199.65583760000004</c:v>
                </c:pt>
                <c:pt idx="6">
                  <c:v>248.58836651000004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BF-42CC-A5CC-F2DBBFFEA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58045"/>
        <c:axId val="8897267"/>
      </c:lineChart>
      <c:catAx>
        <c:axId val="6858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7267"/>
        <c:crosses val="autoZero"/>
        <c:auto val="1"/>
        <c:lblAlgn val="ctr"/>
        <c:lblOffset val="100"/>
        <c:noMultiLvlLbl val="0"/>
      </c:catAx>
      <c:valAx>
        <c:axId val="8897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80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2030 Exit Run-Rate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Open total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Dashboard!$C$26:$E$26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Aggressive</c:v>
                </c:pt>
              </c:strCache>
            </c:strRef>
          </c:cat>
          <c:val>
            <c:numRef>
              <c:f>Dashboard!$C$32:$E$32</c:f>
              <c:numCache>
                <c:formatCode>\$#,##0.0;"($"#,##0.0\);\-</c:formatCode>
                <c:ptCount val="3"/>
                <c:pt idx="0">
                  <c:v>163.74001164400002</c:v>
                </c:pt>
                <c:pt idx="1">
                  <c:v>248.58836651000004</c:v>
                </c:pt>
                <c:pt idx="2">
                  <c:v>394.30000428000005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B-40F0-83AB-0DD9EE77D12F}"/>
            </c:ext>
          </c:extLst>
        </c:ser>
        <c:ser>
          <c:idx val="1"/>
          <c:order val="1"/>
          <c:tx>
            <c:v>Incremental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Dashboard!$C$26:$E$26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Aggressive</c:v>
                </c:pt>
              </c:strCache>
            </c:strRef>
          </c:cat>
          <c:val>
            <c:numRef>
              <c:f>Dashboard!$C$34:$E$34</c:f>
              <c:numCache>
                <c:formatCode>\$#,##0.0;"($"#,##0.0\);\-</c:formatCode>
                <c:ptCount val="3"/>
                <c:pt idx="0">
                  <c:v>33.073523444000017</c:v>
                </c:pt>
                <c:pt idx="1">
                  <c:v>117.92187831000004</c:v>
                </c:pt>
                <c:pt idx="2">
                  <c:v>263.63351608000005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B-40F0-83AB-0DD9EE77D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51950"/>
        <c:axId val="61653389"/>
      </c:barChart>
      <c:catAx>
        <c:axId val="96051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53389"/>
        <c:crosses val="autoZero"/>
        <c:auto val="1"/>
        <c:lblAlgn val="ctr"/>
        <c:lblOffset val="100"/>
        <c:noMultiLvlLbl val="0"/>
      </c:catAx>
      <c:valAx>
        <c:axId val="61653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51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175680</xdr:rowOff>
    </xdr:from>
    <xdr:to>
      <xdr:col>5</xdr:col>
      <xdr:colOff>825840</xdr:colOff>
      <xdr:row>52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52</xdr:row>
      <xdr:rowOff>176040</xdr:rowOff>
    </xdr:from>
    <xdr:to>
      <xdr:col>5</xdr:col>
      <xdr:colOff>825840</xdr:colOff>
      <xdr:row>68</xdr:row>
      <xdr:rowOff>7560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52</xdr:row>
      <xdr:rowOff>176040</xdr:rowOff>
    </xdr:from>
    <xdr:to>
      <xdr:col>11</xdr:col>
      <xdr:colOff>418320</xdr:colOff>
      <xdr:row>68</xdr:row>
      <xdr:rowOff>7560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30" customWidth="1"/>
    <col min="3" max="9" width="16" customWidth="1"/>
    <col min="10" max="10" width="4" customWidth="1"/>
  </cols>
  <sheetData>
    <row r="2" spans="2:9" ht="20" x14ac:dyDescent="0.35">
      <c r="B2" s="10" t="s">
        <v>0</v>
      </c>
      <c r="C2" s="11"/>
      <c r="D2" s="11"/>
      <c r="E2" s="11"/>
      <c r="F2" s="11"/>
      <c r="G2" s="11"/>
      <c r="H2" s="11"/>
      <c r="I2" s="11"/>
    </row>
    <row r="3" spans="2:9" x14ac:dyDescent="0.35">
      <c r="B3" s="12" t="s">
        <v>1</v>
      </c>
      <c r="C3" s="13"/>
      <c r="D3" s="13"/>
      <c r="E3" s="13"/>
      <c r="F3" s="13"/>
      <c r="G3" s="13"/>
      <c r="H3" s="13"/>
      <c r="I3" s="13"/>
    </row>
    <row r="5" spans="2:9" ht="15.5" x14ac:dyDescent="0.35">
      <c r="B5" s="14" t="s">
        <v>2</v>
      </c>
    </row>
    <row r="6" spans="2:9" ht="15" customHeight="1" x14ac:dyDescent="0.35">
      <c r="B6" s="9" t="s">
        <v>3</v>
      </c>
      <c r="C6" s="9"/>
      <c r="D6" s="9"/>
      <c r="E6" s="9"/>
      <c r="F6" s="9"/>
      <c r="G6" s="9"/>
      <c r="H6" s="9"/>
      <c r="I6" s="9"/>
    </row>
    <row r="7" spans="2:9" x14ac:dyDescent="0.35">
      <c r="B7" s="9"/>
      <c r="C7" s="9"/>
      <c r="D7" s="9"/>
      <c r="E7" s="9"/>
      <c r="F7" s="9"/>
      <c r="G7" s="9"/>
      <c r="H7" s="9"/>
      <c r="I7" s="9"/>
    </row>
    <row r="8" spans="2:9" x14ac:dyDescent="0.35">
      <c r="B8" s="9"/>
      <c r="C8" s="9"/>
      <c r="D8" s="9"/>
      <c r="E8" s="9"/>
      <c r="F8" s="9"/>
      <c r="G8" s="9"/>
      <c r="H8" s="9"/>
      <c r="I8" s="9"/>
    </row>
    <row r="9" spans="2:9" x14ac:dyDescent="0.35">
      <c r="B9" s="9"/>
      <c r="C9" s="9"/>
      <c r="D9" s="9"/>
      <c r="E9" s="9"/>
      <c r="F9" s="9"/>
      <c r="G9" s="9"/>
      <c r="H9" s="9"/>
      <c r="I9" s="9"/>
    </row>
    <row r="11" spans="2:9" ht="15.5" x14ac:dyDescent="0.35">
      <c r="B11" s="14" t="s">
        <v>4</v>
      </c>
    </row>
    <row r="12" spans="2:9" ht="33.75" customHeight="1" x14ac:dyDescent="0.35">
      <c r="B12" s="15" t="s">
        <v>5</v>
      </c>
      <c r="C12" s="8" t="s">
        <v>6</v>
      </c>
      <c r="D12" s="8"/>
      <c r="E12" s="8"/>
      <c r="F12" s="8"/>
      <c r="G12" s="8"/>
      <c r="H12" s="8"/>
      <c r="I12" s="8"/>
    </row>
    <row r="13" spans="2:9" ht="33.75" customHeight="1" x14ac:dyDescent="0.35">
      <c r="B13" s="15" t="s">
        <v>7</v>
      </c>
      <c r="C13" s="8" t="s">
        <v>8</v>
      </c>
      <c r="D13" s="8"/>
      <c r="E13" s="8"/>
      <c r="F13" s="8"/>
      <c r="G13" s="8"/>
      <c r="H13" s="8"/>
      <c r="I13" s="8"/>
    </row>
    <row r="14" spans="2:9" ht="33.75" customHeight="1" x14ac:dyDescent="0.35">
      <c r="B14" s="15" t="s">
        <v>9</v>
      </c>
      <c r="C14" s="8" t="s">
        <v>10</v>
      </c>
      <c r="D14" s="8"/>
      <c r="E14" s="8"/>
      <c r="F14" s="8"/>
      <c r="G14" s="8"/>
      <c r="H14" s="8"/>
      <c r="I14" s="8"/>
    </row>
    <row r="15" spans="2:9" ht="33.75" customHeight="1" x14ac:dyDescent="0.35">
      <c r="B15" s="15" t="s">
        <v>11</v>
      </c>
      <c r="C15" s="8" t="s">
        <v>12</v>
      </c>
      <c r="D15" s="8"/>
      <c r="E15" s="8"/>
      <c r="F15" s="8"/>
      <c r="G15" s="8"/>
      <c r="H15" s="8"/>
      <c r="I15" s="8"/>
    </row>
    <row r="16" spans="2:9" ht="33.75" customHeight="1" x14ac:dyDescent="0.35">
      <c r="B16" s="15" t="s">
        <v>13</v>
      </c>
      <c r="C16" s="8" t="s">
        <v>14</v>
      </c>
      <c r="D16" s="8"/>
      <c r="E16" s="8"/>
      <c r="F16" s="8"/>
      <c r="G16" s="8"/>
      <c r="H16" s="8"/>
      <c r="I16" s="8"/>
    </row>
    <row r="18" spans="2:9" ht="15.5" x14ac:dyDescent="0.35">
      <c r="B18" s="14" t="s">
        <v>15</v>
      </c>
    </row>
    <row r="19" spans="2:9" ht="15" customHeight="1" x14ac:dyDescent="0.35">
      <c r="B19" s="16" t="s">
        <v>16</v>
      </c>
      <c r="C19" s="8" t="s">
        <v>17</v>
      </c>
      <c r="D19" s="8"/>
      <c r="E19" s="8"/>
      <c r="F19" s="8"/>
      <c r="G19" s="8"/>
      <c r="H19" s="8"/>
      <c r="I19" s="8"/>
    </row>
    <row r="20" spans="2:9" ht="15" customHeight="1" x14ac:dyDescent="0.35">
      <c r="B20" s="16" t="s">
        <v>16</v>
      </c>
      <c r="C20" s="8" t="s">
        <v>18</v>
      </c>
      <c r="D20" s="8"/>
      <c r="E20" s="8"/>
      <c r="F20" s="8"/>
      <c r="G20" s="8"/>
      <c r="H20" s="8"/>
      <c r="I20" s="8"/>
    </row>
    <row r="21" spans="2:9" ht="15" customHeight="1" x14ac:dyDescent="0.35">
      <c r="B21" s="16" t="s">
        <v>16</v>
      </c>
      <c r="C21" s="8" t="s">
        <v>19</v>
      </c>
      <c r="D21" s="8"/>
      <c r="E21" s="8"/>
      <c r="F21" s="8"/>
      <c r="G21" s="8"/>
      <c r="H21" s="8"/>
      <c r="I21" s="8"/>
    </row>
    <row r="22" spans="2:9" ht="15" customHeight="1" x14ac:dyDescent="0.35">
      <c r="B22" s="16" t="s">
        <v>16</v>
      </c>
      <c r="C22" s="8" t="s">
        <v>20</v>
      </c>
      <c r="D22" s="8"/>
      <c r="E22" s="8"/>
      <c r="F22" s="8"/>
      <c r="G22" s="8"/>
      <c r="H22" s="8"/>
      <c r="I22" s="8"/>
    </row>
    <row r="23" spans="2:9" ht="15" customHeight="1" x14ac:dyDescent="0.35">
      <c r="B23" s="16" t="s">
        <v>16</v>
      </c>
      <c r="C23" s="8" t="s">
        <v>21</v>
      </c>
      <c r="D23" s="8"/>
      <c r="E23" s="8"/>
      <c r="F23" s="8"/>
      <c r="G23" s="8"/>
      <c r="H23" s="8"/>
      <c r="I23" s="8"/>
    </row>
    <row r="24" spans="2:9" ht="15" customHeight="1" x14ac:dyDescent="0.35">
      <c r="B24" s="16" t="s">
        <v>16</v>
      </c>
      <c r="C24" s="8" t="s">
        <v>22</v>
      </c>
      <c r="D24" s="8"/>
      <c r="E24" s="8"/>
      <c r="F24" s="8"/>
      <c r="G24" s="8"/>
      <c r="H24" s="8"/>
      <c r="I24" s="8"/>
    </row>
    <row r="26" spans="2:9" x14ac:dyDescent="0.35">
      <c r="B26" s="17" t="s">
        <v>23</v>
      </c>
    </row>
    <row r="27" spans="2:9" x14ac:dyDescent="0.35">
      <c r="B27" s="18" t="s">
        <v>24</v>
      </c>
      <c r="C27" s="19" t="s">
        <v>25</v>
      </c>
    </row>
    <row r="28" spans="2:9" x14ac:dyDescent="0.35">
      <c r="B28" s="20" t="s">
        <v>26</v>
      </c>
      <c r="C28" s="19" t="s">
        <v>27</v>
      </c>
    </row>
    <row r="29" spans="2:9" x14ac:dyDescent="0.35">
      <c r="B29" s="21" t="s">
        <v>28</v>
      </c>
      <c r="C29" s="19" t="s">
        <v>29</v>
      </c>
    </row>
    <row r="30" spans="2:9" x14ac:dyDescent="0.35">
      <c r="B30" s="22" t="s">
        <v>30</v>
      </c>
      <c r="C30" s="19" t="s">
        <v>31</v>
      </c>
    </row>
    <row r="32" spans="2:9" x14ac:dyDescent="0.35">
      <c r="B32" s="17" t="s">
        <v>32</v>
      </c>
    </row>
    <row r="33" spans="2:9" ht="25.5" customHeight="1" x14ac:dyDescent="0.35">
      <c r="B33" s="16" t="s">
        <v>16</v>
      </c>
      <c r="C33" s="8" t="s">
        <v>33</v>
      </c>
      <c r="D33" s="8"/>
      <c r="E33" s="8"/>
      <c r="F33" s="8"/>
      <c r="G33" s="8"/>
      <c r="H33" s="8"/>
      <c r="I33" s="8"/>
    </row>
    <row r="34" spans="2:9" ht="25.5" customHeight="1" x14ac:dyDescent="0.35">
      <c r="B34" s="16" t="s">
        <v>16</v>
      </c>
      <c r="C34" s="8" t="s">
        <v>34</v>
      </c>
      <c r="D34" s="8"/>
      <c r="E34" s="8"/>
      <c r="F34" s="8"/>
      <c r="G34" s="8"/>
      <c r="H34" s="8"/>
      <c r="I34" s="8"/>
    </row>
    <row r="35" spans="2:9" ht="25.5" customHeight="1" x14ac:dyDescent="0.35">
      <c r="B35" s="16" t="s">
        <v>16</v>
      </c>
      <c r="C35" s="8" t="s">
        <v>35</v>
      </c>
      <c r="D35" s="8"/>
      <c r="E35" s="8"/>
      <c r="F35" s="8"/>
      <c r="G35" s="8"/>
      <c r="H35" s="8"/>
      <c r="I35" s="8"/>
    </row>
    <row r="36" spans="2:9" ht="25.5" customHeight="1" x14ac:dyDescent="0.35">
      <c r="B36" s="16" t="s">
        <v>16</v>
      </c>
      <c r="C36" s="8" t="s">
        <v>36</v>
      </c>
      <c r="D36" s="8"/>
      <c r="E36" s="8"/>
      <c r="F36" s="8"/>
      <c r="G36" s="8"/>
      <c r="H36" s="8"/>
      <c r="I36" s="8"/>
    </row>
  </sheetData>
  <mergeCells count="16">
    <mergeCell ref="C36:I36"/>
    <mergeCell ref="C23:I23"/>
    <mergeCell ref="C24:I24"/>
    <mergeCell ref="C33:I33"/>
    <mergeCell ref="C34:I34"/>
    <mergeCell ref="C35:I35"/>
    <mergeCell ref="C16:I16"/>
    <mergeCell ref="C19:I19"/>
    <mergeCell ref="C20:I20"/>
    <mergeCell ref="C21:I21"/>
    <mergeCell ref="C22:I22"/>
    <mergeCell ref="B6:I9"/>
    <mergeCell ref="C12:I12"/>
    <mergeCell ref="C13:I13"/>
    <mergeCell ref="C14:I14"/>
    <mergeCell ref="C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1"/>
  <sheetViews>
    <sheetView showGridLines="0" topLeftCell="A6" zoomScaleNormal="100" workbookViewId="0"/>
  </sheetViews>
  <sheetFormatPr defaultColWidth="8.6328125" defaultRowHeight="14.5" x14ac:dyDescent="0.35"/>
  <cols>
    <col min="1" max="1" width="2" customWidth="1"/>
    <col min="2" max="2" width="34" customWidth="1"/>
    <col min="3" max="9" width="11" customWidth="1"/>
    <col min="10" max="10" width="3" customWidth="1"/>
    <col min="11" max="12" width="12" customWidth="1"/>
  </cols>
  <sheetData>
    <row r="1" spans="2:12" ht="16.5" x14ac:dyDescent="0.35">
      <c r="B1" s="23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2:12" x14ac:dyDescent="0.35">
      <c r="B2" s="24" t="s">
        <v>38</v>
      </c>
    </row>
    <row r="4" spans="2:12" x14ac:dyDescent="0.35">
      <c r="B4" s="12" t="s">
        <v>39</v>
      </c>
      <c r="C4" s="13"/>
      <c r="D4" s="13"/>
      <c r="E4" s="13"/>
      <c r="F4" s="13"/>
      <c r="G4" s="13"/>
      <c r="H4" s="13"/>
      <c r="I4" s="13"/>
      <c r="K4" s="13"/>
      <c r="L4" s="13"/>
    </row>
    <row r="5" spans="2:12" x14ac:dyDescent="0.35">
      <c r="B5" s="25" t="s">
        <v>40</v>
      </c>
      <c r="C5" s="26" t="s">
        <v>41</v>
      </c>
      <c r="D5" s="26" t="s">
        <v>42</v>
      </c>
      <c r="E5" s="26" t="s">
        <v>43</v>
      </c>
      <c r="F5" s="26" t="s">
        <v>44</v>
      </c>
      <c r="G5" s="26" t="s">
        <v>45</v>
      </c>
      <c r="H5" s="26" t="s">
        <v>46</v>
      </c>
      <c r="I5" s="26" t="s">
        <v>47</v>
      </c>
      <c r="K5" s="27" t="s">
        <v>48</v>
      </c>
      <c r="L5" s="27" t="s">
        <v>49</v>
      </c>
    </row>
    <row r="6" spans="2:12" x14ac:dyDescent="0.35">
      <c r="B6" s="28" t="s">
        <v>50</v>
      </c>
      <c r="C6" s="29">
        <v>483.36</v>
      </c>
      <c r="D6" s="29">
        <v>507.63</v>
      </c>
      <c r="E6" s="29">
        <v>534.66</v>
      </c>
      <c r="F6" s="29">
        <v>569.59</v>
      </c>
      <c r="G6" s="29">
        <v>598.79999999999995</v>
      </c>
      <c r="H6" s="29">
        <v>628.51</v>
      </c>
      <c r="I6" s="30">
        <f t="shared" ref="I6:I11" si="0">H6*(1+L6)</f>
        <v>659.93550000000005</v>
      </c>
      <c r="K6" s="31">
        <f t="shared" ref="K6:K12" si="1">(H6/C6)^(1/5)-1</f>
        <v>5.3921579113358709E-2</v>
      </c>
      <c r="L6" s="32">
        <v>0.05</v>
      </c>
    </row>
    <row r="7" spans="2:12" x14ac:dyDescent="0.35">
      <c r="B7" s="28" t="s">
        <v>51</v>
      </c>
      <c r="C7" s="29">
        <v>45.91</v>
      </c>
      <c r="D7" s="29">
        <v>55.1</v>
      </c>
      <c r="E7" s="29">
        <v>63.56</v>
      </c>
      <c r="F7" s="29">
        <v>72.2</v>
      </c>
      <c r="G7" s="29">
        <v>81.52</v>
      </c>
      <c r="H7" s="29">
        <v>91.7</v>
      </c>
      <c r="I7" s="30">
        <f t="shared" si="0"/>
        <v>102.70400000000001</v>
      </c>
      <c r="K7" s="31">
        <f t="shared" si="1"/>
        <v>0.14839795003374157</v>
      </c>
      <c r="L7" s="32">
        <v>0.12</v>
      </c>
    </row>
    <row r="8" spans="2:12" x14ac:dyDescent="0.35">
      <c r="B8" s="28" t="s">
        <v>52</v>
      </c>
      <c r="C8" s="29">
        <v>141.83000000000001</v>
      </c>
      <c r="D8" s="29">
        <v>152.63999999999999</v>
      </c>
      <c r="E8" s="29">
        <v>164.6</v>
      </c>
      <c r="F8" s="29">
        <v>177.39</v>
      </c>
      <c r="G8" s="29">
        <v>189.74</v>
      </c>
      <c r="H8" s="29">
        <v>201.93</v>
      </c>
      <c r="I8" s="30">
        <f t="shared" si="0"/>
        <v>214.04580000000001</v>
      </c>
      <c r="K8" s="31">
        <f t="shared" si="1"/>
        <v>7.3214541429975188E-2</v>
      </c>
      <c r="L8" s="32">
        <v>0.06</v>
      </c>
    </row>
    <row r="9" spans="2:12" x14ac:dyDescent="0.35">
      <c r="B9" s="28" t="s">
        <v>53</v>
      </c>
      <c r="C9" s="29">
        <v>416.19</v>
      </c>
      <c r="D9" s="29">
        <v>432.65</v>
      </c>
      <c r="E9" s="29">
        <v>461.53</v>
      </c>
      <c r="F9" s="29">
        <v>493.92</v>
      </c>
      <c r="G9" s="29">
        <v>527.09</v>
      </c>
      <c r="H9" s="29">
        <v>563.14</v>
      </c>
      <c r="I9" s="30">
        <f t="shared" si="0"/>
        <v>602.5598</v>
      </c>
      <c r="K9" s="31">
        <f t="shared" si="1"/>
        <v>6.2343456245748108E-2</v>
      </c>
      <c r="L9" s="32">
        <v>7.0000000000000007E-2</v>
      </c>
    </row>
    <row r="10" spans="2:12" x14ac:dyDescent="0.35">
      <c r="B10" s="28" t="s">
        <v>54</v>
      </c>
      <c r="C10" s="29">
        <v>131.18</v>
      </c>
      <c r="D10" s="29">
        <v>117.15</v>
      </c>
      <c r="E10" s="29">
        <v>104.63</v>
      </c>
      <c r="F10" s="29">
        <v>90.97</v>
      </c>
      <c r="G10" s="29">
        <v>79.67</v>
      </c>
      <c r="H10" s="29">
        <v>69.84</v>
      </c>
      <c r="I10" s="30">
        <f t="shared" si="0"/>
        <v>61.459200000000003</v>
      </c>
      <c r="K10" s="31">
        <f t="shared" si="1"/>
        <v>-0.11844924681347901</v>
      </c>
      <c r="L10" s="32">
        <v>-0.12</v>
      </c>
    </row>
    <row r="11" spans="2:12" x14ac:dyDescent="0.35">
      <c r="B11" s="28" t="s">
        <v>55</v>
      </c>
      <c r="C11" s="29">
        <v>4.33</v>
      </c>
      <c r="D11" s="29">
        <v>3.81</v>
      </c>
      <c r="E11" s="29">
        <v>3.46</v>
      </c>
      <c r="F11" s="29">
        <v>3.21</v>
      </c>
      <c r="G11" s="29">
        <v>2.97</v>
      </c>
      <c r="H11" s="29">
        <v>2.76</v>
      </c>
      <c r="I11" s="30">
        <f t="shared" si="0"/>
        <v>2.5667999999999997</v>
      </c>
      <c r="K11" s="31">
        <f t="shared" si="1"/>
        <v>-8.613038644417248E-2</v>
      </c>
      <c r="L11" s="32">
        <v>-7.0000000000000007E-2</v>
      </c>
    </row>
    <row r="12" spans="2:12" x14ac:dyDescent="0.35">
      <c r="B12" s="33" t="s">
        <v>56</v>
      </c>
      <c r="C12" s="34">
        <f t="shared" ref="C12:I12" si="2">C6+C7+C8+C9+C10+C11</f>
        <v>1222.8</v>
      </c>
      <c r="D12" s="34">
        <f t="shared" si="2"/>
        <v>1268.98</v>
      </c>
      <c r="E12" s="34">
        <f t="shared" si="2"/>
        <v>1332.44</v>
      </c>
      <c r="F12" s="34">
        <f t="shared" si="2"/>
        <v>1407.2800000000002</v>
      </c>
      <c r="G12" s="34">
        <f t="shared" si="2"/>
        <v>1479.7900000000002</v>
      </c>
      <c r="H12" s="34">
        <f t="shared" si="2"/>
        <v>1557.88</v>
      </c>
      <c r="I12" s="34">
        <f t="shared" si="2"/>
        <v>1643.2711000000002</v>
      </c>
      <c r="K12" s="35">
        <f t="shared" si="1"/>
        <v>4.9628741713412916E-2</v>
      </c>
    </row>
    <row r="13" spans="2:12" x14ac:dyDescent="0.35">
      <c r="B13" s="36" t="s">
        <v>57</v>
      </c>
      <c r="C13" s="37">
        <f t="shared" ref="C13:I13" si="3">C6+C7+C8</f>
        <v>671.1</v>
      </c>
      <c r="D13" s="37">
        <f t="shared" si="3"/>
        <v>715.37</v>
      </c>
      <c r="E13" s="37">
        <f t="shared" si="3"/>
        <v>762.82</v>
      </c>
      <c r="F13" s="37">
        <f t="shared" si="3"/>
        <v>819.18000000000006</v>
      </c>
      <c r="G13" s="37">
        <f t="shared" si="3"/>
        <v>870.06</v>
      </c>
      <c r="H13" s="37">
        <f t="shared" si="3"/>
        <v>922.1400000000001</v>
      </c>
      <c r="I13" s="37">
        <f t="shared" si="3"/>
        <v>976.68529999999998</v>
      </c>
    </row>
    <row r="15" spans="2:12" x14ac:dyDescent="0.35">
      <c r="B15" s="12" t="s">
        <v>58</v>
      </c>
      <c r="C15" s="13"/>
      <c r="D15" s="13"/>
      <c r="E15" s="13"/>
      <c r="F15" s="13"/>
      <c r="G15" s="13"/>
      <c r="H15" s="13"/>
      <c r="I15" s="13"/>
      <c r="K15" s="13"/>
      <c r="L15" s="13"/>
    </row>
    <row r="16" spans="2:12" x14ac:dyDescent="0.35">
      <c r="B16" s="25" t="s">
        <v>40</v>
      </c>
      <c r="C16" s="26" t="s">
        <v>41</v>
      </c>
      <c r="D16" s="26" t="s">
        <v>42</v>
      </c>
      <c r="E16" s="26" t="s">
        <v>43</v>
      </c>
      <c r="F16" s="26" t="s">
        <v>44</v>
      </c>
      <c r="G16" s="26" t="s">
        <v>45</v>
      </c>
      <c r="H16" s="26" t="s">
        <v>46</v>
      </c>
      <c r="I16" s="26" t="s">
        <v>47</v>
      </c>
      <c r="K16" s="27" t="s">
        <v>48</v>
      </c>
      <c r="L16" s="27" t="s">
        <v>49</v>
      </c>
    </row>
    <row r="17" spans="2:12" x14ac:dyDescent="0.35">
      <c r="B17" s="28" t="s">
        <v>59</v>
      </c>
      <c r="C17" s="29">
        <v>371.43</v>
      </c>
      <c r="D17" s="29">
        <v>379.41</v>
      </c>
      <c r="E17" s="29">
        <v>391.39</v>
      </c>
      <c r="F17" s="29">
        <v>407.81</v>
      </c>
      <c r="G17" s="29">
        <v>424.56</v>
      </c>
      <c r="H17" s="29">
        <v>440.17</v>
      </c>
      <c r="I17" s="30">
        <f t="shared" ref="I17:I22" si="4">H17*(1+L17)</f>
        <v>457.77680000000004</v>
      </c>
      <c r="K17" s="31">
        <f t="shared" ref="K17:K23" si="5">(H17/C17)^(1/5)-1</f>
        <v>3.4543347246723366E-2</v>
      </c>
      <c r="L17" s="32">
        <v>0.04</v>
      </c>
    </row>
    <row r="18" spans="2:12" x14ac:dyDescent="0.35">
      <c r="B18" s="28" t="s">
        <v>60</v>
      </c>
      <c r="C18" s="29">
        <v>85.1</v>
      </c>
      <c r="D18" s="29">
        <v>113.76</v>
      </c>
      <c r="E18" s="29">
        <v>144.72</v>
      </c>
      <c r="F18" s="29">
        <v>173.36</v>
      </c>
      <c r="G18" s="29">
        <v>203.39</v>
      </c>
      <c r="H18" s="29">
        <v>233.91</v>
      </c>
      <c r="I18" s="30">
        <f t="shared" si="4"/>
        <v>268.99649999999997</v>
      </c>
      <c r="K18" s="31">
        <f t="shared" si="5"/>
        <v>0.22411958328730375</v>
      </c>
      <c r="L18" s="32">
        <v>0.15</v>
      </c>
    </row>
    <row r="19" spans="2:12" x14ac:dyDescent="0.35">
      <c r="B19" s="28" t="s">
        <v>61</v>
      </c>
      <c r="C19" s="29">
        <v>158.15</v>
      </c>
      <c r="D19" s="29">
        <v>147.32</v>
      </c>
      <c r="E19" s="29">
        <v>137.12</v>
      </c>
      <c r="F19" s="29">
        <v>127.96</v>
      </c>
      <c r="G19" s="29">
        <v>118.62</v>
      </c>
      <c r="H19" s="29">
        <v>110.15</v>
      </c>
      <c r="I19" s="30">
        <f t="shared" si="4"/>
        <v>102.4395</v>
      </c>
      <c r="K19" s="31">
        <f t="shared" si="5"/>
        <v>-6.9785593981994021E-2</v>
      </c>
      <c r="L19" s="32">
        <v>-7.0000000000000007E-2</v>
      </c>
    </row>
    <row r="20" spans="2:12" x14ac:dyDescent="0.35">
      <c r="B20" s="28" t="s">
        <v>62</v>
      </c>
      <c r="C20" s="29">
        <v>77.53</v>
      </c>
      <c r="D20" s="29">
        <v>84.36</v>
      </c>
      <c r="E20" s="29">
        <v>91.36</v>
      </c>
      <c r="F20" s="29">
        <v>100.7</v>
      </c>
      <c r="G20" s="29">
        <v>109.68</v>
      </c>
      <c r="H20" s="29">
        <v>120.37</v>
      </c>
      <c r="I20" s="30">
        <f t="shared" si="4"/>
        <v>132.40700000000001</v>
      </c>
      <c r="K20" s="31">
        <f t="shared" si="5"/>
        <v>9.1967456165256589E-2</v>
      </c>
      <c r="L20" s="32">
        <v>0.1</v>
      </c>
    </row>
    <row r="21" spans="2:12" x14ac:dyDescent="0.35">
      <c r="B21" s="28" t="s">
        <v>63</v>
      </c>
      <c r="C21" s="29">
        <v>22.08</v>
      </c>
      <c r="D21" s="29">
        <v>22.64</v>
      </c>
      <c r="E21" s="29">
        <v>23.11</v>
      </c>
      <c r="F21" s="29">
        <v>23.49</v>
      </c>
      <c r="G21" s="29">
        <v>23.74</v>
      </c>
      <c r="H21" s="29">
        <v>23.97</v>
      </c>
      <c r="I21" s="30">
        <f t="shared" si="4"/>
        <v>24.209699999999998</v>
      </c>
      <c r="K21" s="31">
        <f t="shared" si="5"/>
        <v>1.6561816587570499E-2</v>
      </c>
      <c r="L21" s="32">
        <v>0.01</v>
      </c>
    </row>
    <row r="22" spans="2:12" x14ac:dyDescent="0.35">
      <c r="B22" s="28" t="s">
        <v>55</v>
      </c>
      <c r="C22" s="29">
        <v>3.41</v>
      </c>
      <c r="D22" s="29">
        <v>2.93</v>
      </c>
      <c r="E22" s="29">
        <v>2.56</v>
      </c>
      <c r="F22" s="29">
        <v>2.2999999999999998</v>
      </c>
      <c r="G22" s="29">
        <v>2.0499999999999998</v>
      </c>
      <c r="H22" s="29">
        <v>1.84</v>
      </c>
      <c r="I22" s="30">
        <f t="shared" si="4"/>
        <v>1.6560000000000001</v>
      </c>
      <c r="K22" s="31">
        <f t="shared" si="5"/>
        <v>-0.11608055311956322</v>
      </c>
      <c r="L22" s="32">
        <v>-0.1</v>
      </c>
    </row>
    <row r="23" spans="2:12" x14ac:dyDescent="0.35">
      <c r="B23" s="33" t="s">
        <v>64</v>
      </c>
      <c r="C23" s="34">
        <f t="shared" ref="C23:I23" si="6">C17+C18+C19+C20+C21+C22</f>
        <v>717.69999999999993</v>
      </c>
      <c r="D23" s="34">
        <f t="shared" si="6"/>
        <v>750.42</v>
      </c>
      <c r="E23" s="34">
        <f t="shared" si="6"/>
        <v>790.26</v>
      </c>
      <c r="F23" s="34">
        <f t="shared" si="6"/>
        <v>835.62000000000012</v>
      </c>
      <c r="G23" s="34">
        <f t="shared" si="6"/>
        <v>882.04</v>
      </c>
      <c r="H23" s="34">
        <f t="shared" si="6"/>
        <v>930.41000000000008</v>
      </c>
      <c r="I23" s="34">
        <f t="shared" si="6"/>
        <v>987.4855</v>
      </c>
      <c r="K23" s="35">
        <f t="shared" si="5"/>
        <v>5.3285934425614689E-2</v>
      </c>
    </row>
    <row r="24" spans="2:12" x14ac:dyDescent="0.35">
      <c r="B24" s="36" t="s">
        <v>65</v>
      </c>
      <c r="C24" s="37">
        <f t="shared" ref="C24:I24" si="7">C17+C18</f>
        <v>456.53</v>
      </c>
      <c r="D24" s="37">
        <f t="shared" si="7"/>
        <v>493.17</v>
      </c>
      <c r="E24" s="37">
        <f t="shared" si="7"/>
        <v>536.11</v>
      </c>
      <c r="F24" s="37">
        <f t="shared" si="7"/>
        <v>581.17000000000007</v>
      </c>
      <c r="G24" s="37">
        <f t="shared" si="7"/>
        <v>627.95000000000005</v>
      </c>
      <c r="H24" s="37">
        <f t="shared" si="7"/>
        <v>674.08</v>
      </c>
      <c r="I24" s="37">
        <f t="shared" si="7"/>
        <v>726.77330000000006</v>
      </c>
    </row>
    <row r="26" spans="2:12" x14ac:dyDescent="0.35">
      <c r="B26" s="12" t="s">
        <v>66</v>
      </c>
      <c r="C26" s="13"/>
      <c r="D26" s="13"/>
      <c r="E26" s="13"/>
      <c r="F26" s="13"/>
      <c r="G26" s="13"/>
      <c r="H26" s="13"/>
      <c r="I26" s="13"/>
      <c r="K26" s="13"/>
      <c r="L26" s="13"/>
    </row>
    <row r="27" spans="2:12" x14ac:dyDescent="0.35">
      <c r="B27" s="25" t="s">
        <v>40</v>
      </c>
      <c r="C27" s="26" t="s">
        <v>41</v>
      </c>
      <c r="D27" s="26" t="s">
        <v>42</v>
      </c>
      <c r="E27" s="26" t="s">
        <v>43</v>
      </c>
      <c r="F27" s="26" t="s">
        <v>44</v>
      </c>
      <c r="G27" s="26" t="s">
        <v>45</v>
      </c>
      <c r="H27" s="26" t="s">
        <v>46</v>
      </c>
      <c r="I27" s="26" t="s">
        <v>47</v>
      </c>
      <c r="K27" s="27" t="s">
        <v>48</v>
      </c>
      <c r="L27" s="27" t="s">
        <v>49</v>
      </c>
    </row>
    <row r="28" spans="2:12" x14ac:dyDescent="0.35">
      <c r="B28" s="28" t="s">
        <v>67</v>
      </c>
      <c r="C28" s="38">
        <v>223.58</v>
      </c>
      <c r="D28" s="38">
        <v>227.73</v>
      </c>
      <c r="E28" s="38">
        <v>233.45</v>
      </c>
      <c r="F28" s="38">
        <v>241.14</v>
      </c>
      <c r="G28" s="38">
        <v>248.4</v>
      </c>
      <c r="H28" s="38">
        <v>253.61</v>
      </c>
      <c r="I28" s="39">
        <f>H28*(1+L28)</f>
        <v>258.68220000000002</v>
      </c>
      <c r="K28" s="31">
        <f>(H28/C28)^(1/5)-1</f>
        <v>2.5526021258144516E-2</v>
      </c>
      <c r="L28" s="32">
        <v>0.02</v>
      </c>
    </row>
    <row r="29" spans="2:12" x14ac:dyDescent="0.35">
      <c r="B29" s="28" t="s">
        <v>68</v>
      </c>
      <c r="C29" s="38">
        <v>118.46</v>
      </c>
      <c r="D29" s="38">
        <v>145.74</v>
      </c>
      <c r="E29" s="38">
        <v>169.62</v>
      </c>
      <c r="F29" s="38">
        <v>191.69</v>
      </c>
      <c r="G29" s="38">
        <v>213.55</v>
      </c>
      <c r="H29" s="38">
        <v>232.84</v>
      </c>
      <c r="I29" s="39">
        <f>H29*(1+L29)</f>
        <v>253.79560000000004</v>
      </c>
      <c r="K29" s="31">
        <f>(H29/C29)^(1/5)-1</f>
        <v>0.14471446952144307</v>
      </c>
      <c r="L29" s="32">
        <v>0.09</v>
      </c>
    </row>
    <row r="30" spans="2:12" x14ac:dyDescent="0.35">
      <c r="B30" s="33" t="s">
        <v>69</v>
      </c>
      <c r="C30" s="40">
        <f t="shared" ref="C30:I30" si="8">C28+C29</f>
        <v>342.04</v>
      </c>
      <c r="D30" s="40">
        <f t="shared" si="8"/>
        <v>373.47</v>
      </c>
      <c r="E30" s="40">
        <f t="shared" si="8"/>
        <v>403.07</v>
      </c>
      <c r="F30" s="40">
        <f t="shared" si="8"/>
        <v>432.83</v>
      </c>
      <c r="G30" s="40">
        <f t="shared" si="8"/>
        <v>461.95000000000005</v>
      </c>
      <c r="H30" s="40">
        <f t="shared" si="8"/>
        <v>486.45000000000005</v>
      </c>
      <c r="I30" s="40">
        <f t="shared" si="8"/>
        <v>512.47780000000012</v>
      </c>
    </row>
    <row r="32" spans="2:12" x14ac:dyDescent="0.35">
      <c r="B32" s="12" t="s">
        <v>70</v>
      </c>
      <c r="C32" s="13"/>
      <c r="D32" s="13"/>
      <c r="E32" s="13"/>
      <c r="F32" s="13"/>
      <c r="G32" s="13"/>
      <c r="H32" s="13"/>
      <c r="I32" s="13"/>
      <c r="K32" s="13"/>
      <c r="L32" s="13"/>
    </row>
    <row r="33" spans="2:5" ht="23" x14ac:dyDescent="0.35">
      <c r="B33" s="36" t="s">
        <v>71</v>
      </c>
      <c r="C33" s="41" t="s">
        <v>72</v>
      </c>
      <c r="D33" s="41" t="s">
        <v>73</v>
      </c>
      <c r="E33" s="42" t="s">
        <v>74</v>
      </c>
    </row>
    <row r="34" spans="2:5" x14ac:dyDescent="0.35">
      <c r="B34" s="28" t="s">
        <v>75</v>
      </c>
      <c r="C34" s="32">
        <v>0.33600000000000002</v>
      </c>
      <c r="D34" s="32">
        <v>9.9000000000000005E-2</v>
      </c>
      <c r="E34" s="32">
        <v>0.161</v>
      </c>
    </row>
    <row r="35" spans="2:5" x14ac:dyDescent="0.35">
      <c r="B35" s="43" t="s">
        <v>76</v>
      </c>
      <c r="C35" s="44">
        <v>0.05</v>
      </c>
      <c r="D35" s="44">
        <v>4.1000000000000002E-2</v>
      </c>
      <c r="E35" s="44">
        <v>5.1999999999999998E-2</v>
      </c>
    </row>
    <row r="36" spans="2:5" x14ac:dyDescent="0.35">
      <c r="B36" s="28" t="s">
        <v>77</v>
      </c>
      <c r="C36" s="32">
        <v>4.2000000000000003E-2</v>
      </c>
      <c r="D36" s="32">
        <v>5.2999999999999999E-2</v>
      </c>
      <c r="E36" s="32">
        <v>0.09</v>
      </c>
    </row>
    <row r="37" spans="2:5" x14ac:dyDescent="0.35">
      <c r="B37" s="28" t="s">
        <v>78</v>
      </c>
      <c r="C37" s="32">
        <v>2.8000000000000001E-2</v>
      </c>
      <c r="D37" s="32">
        <v>3.5000000000000003E-2</v>
      </c>
      <c r="E37" s="32">
        <v>6.7000000000000004E-2</v>
      </c>
    </row>
    <row r="38" spans="2:5" x14ac:dyDescent="0.35">
      <c r="B38" s="28" t="s">
        <v>79</v>
      </c>
      <c r="C38" s="32">
        <v>2.4E-2</v>
      </c>
      <c r="E38" s="32">
        <v>3.6999999999999998E-2</v>
      </c>
    </row>
    <row r="39" spans="2:5" x14ac:dyDescent="0.35">
      <c r="B39" s="28" t="s">
        <v>80</v>
      </c>
      <c r="C39" s="32">
        <v>0.41899999999999998</v>
      </c>
      <c r="D39" s="32">
        <v>0.54800000000000004</v>
      </c>
      <c r="E39" s="32">
        <v>0.39500000000000002</v>
      </c>
    </row>
    <row r="41" spans="2:5" x14ac:dyDescent="0.35">
      <c r="B41" s="45" t="s">
        <v>81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2"/>
  <sheetViews>
    <sheetView showGridLines="0" tabSelected="1" topLeftCell="A6" zoomScale="130" zoomScaleNormal="130" workbookViewId="0">
      <selection activeCell="C4" sqref="C4"/>
    </sheetView>
  </sheetViews>
  <sheetFormatPr defaultColWidth="8.6328125" defaultRowHeight="14.5" x14ac:dyDescent="0.35"/>
  <cols>
    <col min="1" max="1" width="2" customWidth="1"/>
    <col min="2" max="2" width="54.36328125" customWidth="1"/>
    <col min="3" max="6" width="13" customWidth="1"/>
    <col min="7" max="7" width="5.81640625" bestFit="1" customWidth="1"/>
    <col min="8" max="8" width="46" customWidth="1"/>
  </cols>
  <sheetData>
    <row r="1" spans="2:8" ht="16.5" x14ac:dyDescent="0.35">
      <c r="B1" s="23" t="s">
        <v>82</v>
      </c>
      <c r="C1" s="11"/>
      <c r="D1" s="11"/>
      <c r="E1" s="11"/>
      <c r="F1" s="11"/>
      <c r="G1" s="11"/>
      <c r="H1" s="11"/>
    </row>
    <row r="2" spans="2:8" x14ac:dyDescent="0.35">
      <c r="B2" s="24" t="s">
        <v>83</v>
      </c>
    </row>
    <row r="3" spans="2:8" ht="15.5" x14ac:dyDescent="0.35">
      <c r="B3" s="46" t="s">
        <v>84</v>
      </c>
      <c r="C3" s="47">
        <v>2</v>
      </c>
      <c r="D3" s="7" t="str">
        <f>CHOOSE(C3,"CONSERVATIVE","BASE","AGGRESSIVE")</f>
        <v>BASE</v>
      </c>
      <c r="E3" s="7"/>
      <c r="F3" s="7"/>
    </row>
    <row r="5" spans="2:8" x14ac:dyDescent="0.35">
      <c r="B5" s="36" t="s">
        <v>85</v>
      </c>
      <c r="C5" s="41" t="s">
        <v>86</v>
      </c>
      <c r="D5" s="41" t="s">
        <v>87</v>
      </c>
      <c r="E5" s="41" t="s">
        <v>88</v>
      </c>
      <c r="F5" s="41" t="s">
        <v>89</v>
      </c>
      <c r="H5" s="36" t="s">
        <v>90</v>
      </c>
    </row>
    <row r="6" spans="2:8" x14ac:dyDescent="0.35">
      <c r="B6" s="48" t="s">
        <v>91</v>
      </c>
    </row>
    <row r="7" spans="2:8" ht="40" x14ac:dyDescent="0.35">
      <c r="B7" s="28" t="s">
        <v>92</v>
      </c>
      <c r="C7" s="49">
        <v>7.9000000000000001E-2</v>
      </c>
      <c r="D7" s="49">
        <v>7.9000000000000001E-2</v>
      </c>
      <c r="E7" s="49">
        <v>7.9000000000000001E-2</v>
      </c>
      <c r="F7" s="50">
        <f>CHOOSE($C$3,C7,D7,E7)</f>
        <v>7.9000000000000001E-2</v>
      </c>
      <c r="H7" s="51" t="s">
        <v>93</v>
      </c>
    </row>
    <row r="8" spans="2:8" ht="20" x14ac:dyDescent="0.35">
      <c r="B8" s="28" t="s">
        <v>94</v>
      </c>
      <c r="C8" s="49">
        <v>0.09</v>
      </c>
      <c r="D8" s="49">
        <v>0.12</v>
      </c>
      <c r="E8" s="49">
        <v>0.16</v>
      </c>
      <c r="F8" s="50">
        <f>CHOOSE($C$3,C8,D8,E8)</f>
        <v>0.12</v>
      </c>
      <c r="H8" s="51" t="s">
        <v>95</v>
      </c>
    </row>
    <row r="9" spans="2:8" ht="40" x14ac:dyDescent="0.35">
      <c r="B9" s="28" t="s">
        <v>96</v>
      </c>
      <c r="C9" s="49">
        <v>7.4999999999999997E-2</v>
      </c>
      <c r="D9" s="49">
        <v>7.4999999999999997E-2</v>
      </c>
      <c r="E9" s="49">
        <v>7.4999999999999997E-2</v>
      </c>
      <c r="F9" s="50">
        <f>CHOOSE($C$3,C9,D9,E9)</f>
        <v>7.4999999999999997E-2</v>
      </c>
      <c r="H9" s="51" t="s">
        <v>97</v>
      </c>
    </row>
    <row r="10" spans="2:8" ht="30" x14ac:dyDescent="0.35">
      <c r="B10" s="28" t="s">
        <v>98</v>
      </c>
      <c r="C10" s="49">
        <v>8.5000000000000006E-2</v>
      </c>
      <c r="D10" s="49">
        <v>0.11</v>
      </c>
      <c r="E10" s="49">
        <v>0.14499999999999999</v>
      </c>
      <c r="F10" s="50">
        <f>CHOOSE($C$3,C10,D10,E10)</f>
        <v>0.11</v>
      </c>
      <c r="H10" s="51" t="s">
        <v>99</v>
      </c>
    </row>
    <row r="11" spans="2:8" x14ac:dyDescent="0.35">
      <c r="B11" s="48" t="s">
        <v>100</v>
      </c>
    </row>
    <row r="12" spans="2:8" ht="30" x14ac:dyDescent="0.35">
      <c r="B12" s="28" t="s">
        <v>101</v>
      </c>
      <c r="C12" s="49">
        <v>0.1</v>
      </c>
      <c r="D12" s="49">
        <v>0.2</v>
      </c>
      <c r="E12" s="49">
        <v>0.3</v>
      </c>
      <c r="F12" s="50">
        <f t="shared" ref="F12:F17" si="0">CHOOSE($C$3,C12,D12,E12)</f>
        <v>0.2</v>
      </c>
      <c r="H12" s="51" t="s">
        <v>102</v>
      </c>
    </row>
    <row r="13" spans="2:8" ht="20" x14ac:dyDescent="0.35">
      <c r="B13" s="28" t="s">
        <v>103</v>
      </c>
      <c r="C13" s="52">
        <v>0.4</v>
      </c>
      <c r="D13" s="52">
        <v>0.5</v>
      </c>
      <c r="E13" s="52">
        <v>0.65</v>
      </c>
      <c r="F13" s="53">
        <f t="shared" si="0"/>
        <v>0.5</v>
      </c>
      <c r="H13" s="51" t="s">
        <v>104</v>
      </c>
    </row>
    <row r="14" spans="2:8" ht="20" x14ac:dyDescent="0.35">
      <c r="B14" s="28" t="s">
        <v>105</v>
      </c>
      <c r="C14" s="49">
        <v>0.08</v>
      </c>
      <c r="D14" s="49">
        <v>0.15</v>
      </c>
      <c r="E14" s="49">
        <v>0.22</v>
      </c>
      <c r="F14" s="50">
        <f t="shared" si="0"/>
        <v>0.15</v>
      </c>
      <c r="H14" s="51" t="s">
        <v>106</v>
      </c>
    </row>
    <row r="15" spans="2:8" ht="20" x14ac:dyDescent="0.35">
      <c r="B15" s="28" t="s">
        <v>107</v>
      </c>
      <c r="C15" s="52">
        <v>0.6</v>
      </c>
      <c r="D15" s="52">
        <v>0.75</v>
      </c>
      <c r="E15" s="52">
        <v>1</v>
      </c>
      <c r="F15" s="53">
        <f t="shared" si="0"/>
        <v>0.75</v>
      </c>
      <c r="H15" s="51" t="s">
        <v>108</v>
      </c>
    </row>
    <row r="16" spans="2:8" ht="20" x14ac:dyDescent="0.35">
      <c r="B16" s="28" t="s">
        <v>109</v>
      </c>
      <c r="C16" s="49">
        <v>0.1</v>
      </c>
      <c r="D16" s="49">
        <v>0.18</v>
      </c>
      <c r="E16" s="49">
        <v>0.28000000000000003</v>
      </c>
      <c r="F16" s="50">
        <f t="shared" si="0"/>
        <v>0.18</v>
      </c>
      <c r="H16" s="51" t="s">
        <v>110</v>
      </c>
    </row>
    <row r="17" spans="2:8" ht="20" x14ac:dyDescent="0.35">
      <c r="B17" s="28" t="s">
        <v>111</v>
      </c>
      <c r="C17" s="52">
        <v>0.3</v>
      </c>
      <c r="D17" s="52">
        <v>0.4</v>
      </c>
      <c r="E17" s="52">
        <v>0.55000000000000004</v>
      </c>
      <c r="F17" s="53">
        <f t="shared" si="0"/>
        <v>0.4</v>
      </c>
      <c r="H17" s="51" t="s">
        <v>112</v>
      </c>
    </row>
    <row r="18" spans="2:8" x14ac:dyDescent="0.35">
      <c r="B18" s="48" t="s">
        <v>113</v>
      </c>
    </row>
    <row r="19" spans="2:8" ht="20" x14ac:dyDescent="0.35">
      <c r="B19" s="28" t="s">
        <v>114</v>
      </c>
      <c r="C19" s="49">
        <v>0.3</v>
      </c>
      <c r="D19" s="49">
        <v>0.27</v>
      </c>
      <c r="E19" s="49">
        <v>0.23</v>
      </c>
      <c r="F19" s="50">
        <f>CHOOSE($C$3,C19,D19,E19)</f>
        <v>0.27</v>
      </c>
      <c r="H19" s="51" t="s">
        <v>115</v>
      </c>
    </row>
    <row r="21" spans="2:8" x14ac:dyDescent="0.35">
      <c r="B21" s="54" t="s">
        <v>116</v>
      </c>
      <c r="C21" s="55"/>
      <c r="D21" s="55"/>
      <c r="E21" s="55"/>
      <c r="F21" s="55"/>
      <c r="G21" s="55"/>
      <c r="H21" s="55"/>
    </row>
    <row r="22" spans="2:8" x14ac:dyDescent="0.35">
      <c r="B22" s="36" t="s">
        <v>117</v>
      </c>
      <c r="C22" s="41">
        <v>2025</v>
      </c>
      <c r="D22" s="41">
        <v>2026</v>
      </c>
      <c r="E22" s="41">
        <v>2027</v>
      </c>
      <c r="F22" s="41">
        <v>2028</v>
      </c>
      <c r="G22" s="41">
        <v>2029</v>
      </c>
      <c r="H22" s="41">
        <v>2030</v>
      </c>
    </row>
    <row r="23" spans="2:8" x14ac:dyDescent="0.35">
      <c r="B23" s="28" t="s">
        <v>86</v>
      </c>
      <c r="C23" s="49">
        <v>0.02</v>
      </c>
      <c r="D23" s="49">
        <v>0.05</v>
      </c>
      <c r="E23" s="49">
        <v>0.1</v>
      </c>
      <c r="F23" s="49">
        <v>0.18</v>
      </c>
      <c r="G23" s="49">
        <v>0.28000000000000003</v>
      </c>
      <c r="H23" s="49">
        <v>0.38</v>
      </c>
    </row>
    <row r="24" spans="2:8" x14ac:dyDescent="0.35">
      <c r="B24" s="28" t="s">
        <v>87</v>
      </c>
      <c r="C24" s="49">
        <v>0.03</v>
      </c>
      <c r="D24" s="49">
        <v>0.08</v>
      </c>
      <c r="E24" s="49">
        <v>0.16</v>
      </c>
      <c r="F24" s="49">
        <v>0.27</v>
      </c>
      <c r="G24" s="49">
        <v>0.4</v>
      </c>
      <c r="H24" s="49">
        <v>0.55000000000000004</v>
      </c>
    </row>
    <row r="25" spans="2:8" x14ac:dyDescent="0.35">
      <c r="B25" s="28" t="s">
        <v>88</v>
      </c>
      <c r="C25" s="49">
        <v>0.04</v>
      </c>
      <c r="D25" s="49">
        <v>0.11</v>
      </c>
      <c r="E25" s="49">
        <v>0.22</v>
      </c>
      <c r="F25" s="49">
        <v>0.38</v>
      </c>
      <c r="G25" s="49">
        <v>0.55000000000000004</v>
      </c>
      <c r="H25" s="49">
        <v>0.7</v>
      </c>
    </row>
    <row r="26" spans="2:8" x14ac:dyDescent="0.35">
      <c r="B26" s="56" t="s">
        <v>118</v>
      </c>
      <c r="C26" s="57">
        <f t="shared" ref="C26:H26" si="1">CHOOSE($C$3,C23,C24,C25)</f>
        <v>0.03</v>
      </c>
      <c r="D26" s="57">
        <f t="shared" si="1"/>
        <v>0.08</v>
      </c>
      <c r="E26" s="57">
        <f t="shared" si="1"/>
        <v>0.16</v>
      </c>
      <c r="F26" s="57">
        <f t="shared" si="1"/>
        <v>0.27</v>
      </c>
      <c r="G26" s="57">
        <f t="shared" si="1"/>
        <v>0.4</v>
      </c>
      <c r="H26" s="57">
        <f t="shared" si="1"/>
        <v>0.55000000000000004</v>
      </c>
    </row>
    <row r="28" spans="2:8" x14ac:dyDescent="0.35">
      <c r="B28" s="54" t="s">
        <v>119</v>
      </c>
      <c r="C28" s="55"/>
      <c r="D28" s="55"/>
      <c r="E28" s="55"/>
      <c r="F28" s="55"/>
      <c r="G28" s="55"/>
      <c r="H28" s="55"/>
    </row>
    <row r="29" spans="2:8" x14ac:dyDescent="0.35">
      <c r="B29" s="36" t="s">
        <v>120</v>
      </c>
      <c r="C29" s="41">
        <v>2025</v>
      </c>
      <c r="D29" s="41">
        <v>2026</v>
      </c>
      <c r="E29" s="41">
        <v>2027</v>
      </c>
      <c r="F29" s="41">
        <v>2028</v>
      </c>
      <c r="G29" s="41">
        <v>2029</v>
      </c>
      <c r="H29" s="41">
        <v>2030</v>
      </c>
    </row>
    <row r="30" spans="2:8" x14ac:dyDescent="0.35">
      <c r="B30" s="28" t="s">
        <v>121</v>
      </c>
      <c r="C30" s="58">
        <v>0</v>
      </c>
      <c r="D30" s="58">
        <v>0.2</v>
      </c>
      <c r="E30" s="58">
        <v>0.4</v>
      </c>
      <c r="F30" s="58">
        <v>0.6</v>
      </c>
      <c r="G30" s="58">
        <v>0.8</v>
      </c>
      <c r="H30" s="58">
        <v>1</v>
      </c>
    </row>
    <row r="32" spans="2:8" x14ac:dyDescent="0.35">
      <c r="B32" s="59" t="s">
        <v>122</v>
      </c>
    </row>
  </sheetData>
  <mergeCells count="1">
    <mergeCell ref="D3:F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5"/>
  <sheetViews>
    <sheetView showGridLines="0" topLeftCell="A12" zoomScaleNormal="100" workbookViewId="0">
      <selection activeCell="K13" sqref="K13"/>
    </sheetView>
  </sheetViews>
  <sheetFormatPr defaultColWidth="8.6328125" defaultRowHeight="14.5" x14ac:dyDescent="0.35"/>
  <cols>
    <col min="1" max="1" width="2" customWidth="1"/>
    <col min="2" max="2" width="42" customWidth="1"/>
    <col min="3" max="9" width="11" customWidth="1"/>
    <col min="10" max="10" width="13" customWidth="1"/>
    <col min="11" max="11" width="40" customWidth="1"/>
  </cols>
  <sheetData>
    <row r="1" spans="2:11" ht="16.5" x14ac:dyDescent="0.35">
      <c r="B1" s="23" t="s">
        <v>123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x14ac:dyDescent="0.35">
      <c r="B2" s="60" t="str">
        <f>CONCATENATE("Active scenario: ",Assumptions!D3)</f>
        <v>Active scenario: BASE</v>
      </c>
      <c r="K2" s="61" t="s">
        <v>124</v>
      </c>
    </row>
    <row r="4" spans="2:11" x14ac:dyDescent="0.35">
      <c r="B4" s="62" t="s">
        <v>125</v>
      </c>
      <c r="C4" s="13"/>
      <c r="D4" s="13"/>
      <c r="E4" s="13"/>
      <c r="F4" s="13"/>
      <c r="G4" s="13"/>
      <c r="H4" s="13"/>
      <c r="I4" s="13"/>
      <c r="J4" s="13"/>
      <c r="K4" s="13"/>
    </row>
    <row r="5" spans="2:11" x14ac:dyDescent="0.35">
      <c r="B5" s="36" t="s">
        <v>126</v>
      </c>
      <c r="C5" s="41" t="s">
        <v>41</v>
      </c>
      <c r="D5" s="41" t="s">
        <v>42</v>
      </c>
      <c r="E5" s="41" t="s">
        <v>43</v>
      </c>
      <c r="F5" s="41" t="s">
        <v>44</v>
      </c>
      <c r="G5" s="41" t="s">
        <v>45</v>
      </c>
      <c r="H5" s="41" t="s">
        <v>46</v>
      </c>
      <c r="I5" s="41" t="s">
        <v>47</v>
      </c>
      <c r="J5" s="42" t="s">
        <v>127</v>
      </c>
      <c r="K5" s="36" t="s">
        <v>128</v>
      </c>
    </row>
    <row r="6" spans="2:11" x14ac:dyDescent="0.35">
      <c r="B6" s="28" t="s">
        <v>65</v>
      </c>
      <c r="C6" s="63">
        <f>'Market (Omdia)'!C24</f>
        <v>456.53</v>
      </c>
      <c r="D6" s="63">
        <f>'Market (Omdia)'!D24</f>
        <v>493.17</v>
      </c>
      <c r="E6" s="63">
        <f>'Market (Omdia)'!E24</f>
        <v>536.11</v>
      </c>
      <c r="F6" s="63">
        <f>'Market (Omdia)'!F24</f>
        <v>581.17000000000007</v>
      </c>
      <c r="G6" s="63">
        <f>'Market (Omdia)'!G24</f>
        <v>627.95000000000005</v>
      </c>
      <c r="H6" s="63">
        <f>'Market (Omdia)'!H24</f>
        <v>674.08</v>
      </c>
      <c r="I6" s="63">
        <f>'Market (Omdia)'!I24</f>
        <v>726.77330000000006</v>
      </c>
      <c r="K6" s="64" t="s">
        <v>129</v>
      </c>
    </row>
    <row r="7" spans="2:11" x14ac:dyDescent="0.35">
      <c r="B7" s="28" t="s">
        <v>57</v>
      </c>
      <c r="C7" s="63">
        <f>'Market (Omdia)'!C13</f>
        <v>671.1</v>
      </c>
      <c r="D7" s="63">
        <f>'Market (Omdia)'!D13</f>
        <v>715.37</v>
      </c>
      <c r="E7" s="63">
        <f>'Market (Omdia)'!E13</f>
        <v>762.82</v>
      </c>
      <c r="F7" s="63">
        <f>'Market (Omdia)'!F13</f>
        <v>819.18000000000006</v>
      </c>
      <c r="G7" s="63">
        <f>'Market (Omdia)'!G13</f>
        <v>870.06</v>
      </c>
      <c r="H7" s="63">
        <f>'Market (Omdia)'!H13</f>
        <v>922.1400000000001</v>
      </c>
      <c r="I7" s="63">
        <f>'Market (Omdia)'!I13</f>
        <v>976.68529999999998</v>
      </c>
      <c r="K7" s="64" t="s">
        <v>130</v>
      </c>
    </row>
    <row r="8" spans="2:11" x14ac:dyDescent="0.35">
      <c r="B8" s="28" t="s">
        <v>131</v>
      </c>
      <c r="C8" s="63">
        <f>'Market (Omdia)'!C23</f>
        <v>717.69999999999993</v>
      </c>
      <c r="D8" s="63">
        <f>'Market (Omdia)'!D23</f>
        <v>750.42</v>
      </c>
      <c r="E8" s="63">
        <f>'Market (Omdia)'!E23</f>
        <v>790.26</v>
      </c>
      <c r="F8" s="63">
        <f>'Market (Omdia)'!F23</f>
        <v>835.62000000000012</v>
      </c>
      <c r="G8" s="63">
        <f>'Market (Omdia)'!G23</f>
        <v>882.04</v>
      </c>
      <c r="H8" s="63">
        <f>'Market (Omdia)'!H23</f>
        <v>930.41000000000008</v>
      </c>
      <c r="I8" s="63">
        <f>'Market (Omdia)'!I23</f>
        <v>987.4855</v>
      </c>
      <c r="K8" s="64" t="s">
        <v>132</v>
      </c>
    </row>
    <row r="9" spans="2:11" x14ac:dyDescent="0.35">
      <c r="B9" s="28" t="s">
        <v>133</v>
      </c>
      <c r="C9" s="63">
        <f>'Market (Omdia)'!C12</f>
        <v>1222.8</v>
      </c>
      <c r="D9" s="63">
        <f>'Market (Omdia)'!D12</f>
        <v>1268.98</v>
      </c>
      <c r="E9" s="63">
        <f>'Market (Omdia)'!E12</f>
        <v>1332.44</v>
      </c>
      <c r="F9" s="63">
        <f>'Market (Omdia)'!F12</f>
        <v>1407.2800000000002</v>
      </c>
      <c r="G9" s="63">
        <f>'Market (Omdia)'!G12</f>
        <v>1479.7900000000002</v>
      </c>
      <c r="H9" s="63">
        <f>'Market (Omdia)'!H12</f>
        <v>1557.88</v>
      </c>
      <c r="I9" s="63">
        <f>'Market (Omdia)'!I12</f>
        <v>1643.2711000000002</v>
      </c>
      <c r="K9" s="64" t="s">
        <v>132</v>
      </c>
    </row>
    <row r="10" spans="2:11" x14ac:dyDescent="0.35">
      <c r="B10" s="28" t="s">
        <v>69</v>
      </c>
      <c r="C10" s="65">
        <f>'Market (Omdia)'!C30</f>
        <v>342.04</v>
      </c>
      <c r="D10" s="65">
        <f>'Market (Omdia)'!D30</f>
        <v>373.47</v>
      </c>
      <c r="E10" s="65">
        <f>'Market (Omdia)'!E30</f>
        <v>403.07</v>
      </c>
      <c r="F10" s="65">
        <f>'Market (Omdia)'!F30</f>
        <v>432.83</v>
      </c>
      <c r="G10" s="65">
        <f>'Market (Omdia)'!G30</f>
        <v>461.95000000000005</v>
      </c>
      <c r="H10" s="65">
        <f>'Market (Omdia)'!H30</f>
        <v>486.45000000000005</v>
      </c>
      <c r="I10" s="65">
        <f>'Market (Omdia)'!I30</f>
        <v>512.47780000000012</v>
      </c>
      <c r="K10" s="64" t="s">
        <v>134</v>
      </c>
    </row>
    <row r="11" spans="2:11" x14ac:dyDescent="0.35">
      <c r="B11" s="28" t="s">
        <v>135</v>
      </c>
      <c r="C11" s="65">
        <f>'Market (Omdia)'!C29</f>
        <v>118.46</v>
      </c>
      <c r="D11" s="65">
        <f>'Market (Omdia)'!D29</f>
        <v>145.74</v>
      </c>
      <c r="E11" s="65">
        <f>'Market (Omdia)'!E29</f>
        <v>169.62</v>
      </c>
      <c r="F11" s="65">
        <f>'Market (Omdia)'!F29</f>
        <v>191.69</v>
      </c>
      <c r="G11" s="65">
        <f>'Market (Omdia)'!G29</f>
        <v>213.55</v>
      </c>
      <c r="H11" s="65">
        <f>'Market (Omdia)'!H29</f>
        <v>232.84</v>
      </c>
      <c r="I11" s="65">
        <f>'Market (Omdia)'!I29</f>
        <v>253.79560000000004</v>
      </c>
      <c r="K11" s="64" t="s">
        <v>132</v>
      </c>
    </row>
    <row r="12" spans="2:11" x14ac:dyDescent="0.35">
      <c r="B12" s="66" t="s">
        <v>136</v>
      </c>
      <c r="C12" s="31">
        <v>0</v>
      </c>
      <c r="D12" s="67">
        <f>Assumptions!C26</f>
        <v>0.03</v>
      </c>
      <c r="E12" s="67">
        <f>Assumptions!D26</f>
        <v>0.08</v>
      </c>
      <c r="F12" s="67">
        <f>Assumptions!E26</f>
        <v>0.16</v>
      </c>
      <c r="G12" s="67">
        <f>Assumptions!F26</f>
        <v>0.27</v>
      </c>
      <c r="H12" s="67">
        <f>Assumptions!G26</f>
        <v>0.4</v>
      </c>
      <c r="I12" s="67">
        <f>Assumptions!H26</f>
        <v>0.55000000000000004</v>
      </c>
      <c r="K12" s="64" t="s">
        <v>137</v>
      </c>
    </row>
    <row r="13" spans="2:11" x14ac:dyDescent="0.35">
      <c r="B13" s="28" t="s">
        <v>138</v>
      </c>
      <c r="C13" s="68">
        <v>0</v>
      </c>
      <c r="D13" s="69">
        <f>Assumptions!C30</f>
        <v>0</v>
      </c>
      <c r="E13" s="69">
        <f>Assumptions!D30</f>
        <v>0.2</v>
      </c>
      <c r="F13" s="69">
        <f>Assumptions!E30</f>
        <v>0.4</v>
      </c>
      <c r="G13" s="69">
        <f>Assumptions!F30</f>
        <v>0.6</v>
      </c>
      <c r="H13" s="69">
        <f>Assumptions!G30</f>
        <v>0.8</v>
      </c>
      <c r="I13" s="69">
        <f>Assumptions!H30</f>
        <v>1</v>
      </c>
      <c r="K13" s="64" t="s">
        <v>139</v>
      </c>
    </row>
    <row r="15" spans="2:11" x14ac:dyDescent="0.35">
      <c r="B15" s="62" t="s">
        <v>140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2:11" x14ac:dyDescent="0.35">
      <c r="B16" s="36" t="s">
        <v>126</v>
      </c>
      <c r="C16" s="41" t="s">
        <v>41</v>
      </c>
      <c r="D16" s="41" t="s">
        <v>42</v>
      </c>
      <c r="E16" s="41" t="s">
        <v>43</v>
      </c>
      <c r="F16" s="41" t="s">
        <v>44</v>
      </c>
      <c r="G16" s="41" t="s">
        <v>45</v>
      </c>
      <c r="H16" s="41" t="s">
        <v>46</v>
      </c>
      <c r="I16" s="41" t="s">
        <v>47</v>
      </c>
      <c r="J16" s="42" t="s">
        <v>127</v>
      </c>
      <c r="K16" s="36" t="s">
        <v>128</v>
      </c>
    </row>
    <row r="17" spans="2:11" x14ac:dyDescent="0.35">
      <c r="B17" s="28" t="s">
        <v>141</v>
      </c>
      <c r="C17" s="30">
        <f>C6*Assumptions!$F$7</f>
        <v>36.065869999999997</v>
      </c>
      <c r="D17" s="30">
        <f>D6*Assumptions!$F$7</f>
        <v>38.960430000000002</v>
      </c>
      <c r="E17" s="30">
        <f>E6*Assumptions!$F$7</f>
        <v>42.352690000000003</v>
      </c>
      <c r="F17" s="30">
        <f>F6*Assumptions!$F$7</f>
        <v>45.912430000000008</v>
      </c>
      <c r="G17" s="30">
        <f>G6*Assumptions!$F$7</f>
        <v>49.608050000000006</v>
      </c>
      <c r="H17" s="30">
        <f>H6*Assumptions!$F$7</f>
        <v>53.252320000000005</v>
      </c>
      <c r="I17" s="30">
        <f>I6*Assumptions!$F$7</f>
        <v>57.415090700000007</v>
      </c>
      <c r="J17" s="70">
        <f>SUM(E17:I17)</f>
        <v>248.54058070000002</v>
      </c>
      <c r="K17" s="64" t="s">
        <v>142</v>
      </c>
    </row>
    <row r="18" spans="2:11" x14ac:dyDescent="0.35">
      <c r="B18" s="28" t="s">
        <v>143</v>
      </c>
      <c r="C18" s="30">
        <f>C7*Assumptions!$F$9</f>
        <v>50.332500000000003</v>
      </c>
      <c r="D18" s="30">
        <f>D7*Assumptions!$F$9</f>
        <v>53.652749999999997</v>
      </c>
      <c r="E18" s="30">
        <f>E7*Assumptions!$F$9</f>
        <v>57.211500000000001</v>
      </c>
      <c r="F18" s="30">
        <f>F7*Assumptions!$F$9</f>
        <v>61.438500000000005</v>
      </c>
      <c r="G18" s="30">
        <f>G7*Assumptions!$F$9</f>
        <v>65.254499999999993</v>
      </c>
      <c r="H18" s="30">
        <f>H7*Assumptions!$F$9</f>
        <v>69.160499999999999</v>
      </c>
      <c r="I18" s="30">
        <f>I7*Assumptions!$F$9</f>
        <v>73.251397499999996</v>
      </c>
      <c r="J18" s="70">
        <f>SUM(E18:I18)</f>
        <v>326.31639749999999</v>
      </c>
      <c r="K18" s="64" t="s">
        <v>142</v>
      </c>
    </row>
    <row r="19" spans="2:11" x14ac:dyDescent="0.35">
      <c r="B19" s="33" t="s">
        <v>144</v>
      </c>
      <c r="C19" s="34">
        <f t="shared" ref="C19:I19" si="0">C17+C18</f>
        <v>86.39837</v>
      </c>
      <c r="D19" s="34">
        <f t="shared" si="0"/>
        <v>92.61318</v>
      </c>
      <c r="E19" s="34">
        <f t="shared" si="0"/>
        <v>99.564189999999996</v>
      </c>
      <c r="F19" s="34">
        <f t="shared" si="0"/>
        <v>107.35093000000001</v>
      </c>
      <c r="G19" s="34">
        <f t="shared" si="0"/>
        <v>114.86255</v>
      </c>
      <c r="H19" s="34">
        <f t="shared" si="0"/>
        <v>122.41282000000001</v>
      </c>
      <c r="I19" s="34">
        <f t="shared" si="0"/>
        <v>130.6664882</v>
      </c>
      <c r="J19" s="34">
        <f>SUM(E19:I19)</f>
        <v>574.85697819999996</v>
      </c>
    </row>
    <row r="21" spans="2:11" x14ac:dyDescent="0.35">
      <c r="B21" s="62" t="s">
        <v>145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2:11" x14ac:dyDescent="0.35">
      <c r="B22" s="36" t="s">
        <v>126</v>
      </c>
      <c r="C22" s="41" t="s">
        <v>41</v>
      </c>
      <c r="D22" s="41" t="s">
        <v>42</v>
      </c>
      <c r="E22" s="41" t="s">
        <v>43</v>
      </c>
      <c r="F22" s="41" t="s">
        <v>44</v>
      </c>
      <c r="G22" s="41" t="s">
        <v>45</v>
      </c>
      <c r="H22" s="41" t="s">
        <v>46</v>
      </c>
      <c r="I22" s="41" t="s">
        <v>47</v>
      </c>
      <c r="J22" s="42" t="s">
        <v>127</v>
      </c>
      <c r="K22" s="36" t="s">
        <v>128</v>
      </c>
    </row>
    <row r="23" spans="2:11" x14ac:dyDescent="0.35">
      <c r="B23" s="71" t="s">
        <v>146</v>
      </c>
      <c r="C23" s="72">
        <f>Assumptions!$F$7+(Assumptions!$F$8-Assumptions!$F$7)*C13</f>
        <v>7.9000000000000001E-2</v>
      </c>
      <c r="D23" s="72">
        <f>Assumptions!$F$7+(Assumptions!$F$8-Assumptions!$F$7)*D13</f>
        <v>7.9000000000000001E-2</v>
      </c>
      <c r="E23" s="72">
        <f>Assumptions!$F$7+(Assumptions!$F$8-Assumptions!$F$7)*E13</f>
        <v>8.72E-2</v>
      </c>
      <c r="F23" s="72">
        <f>Assumptions!$F$7+(Assumptions!$F$8-Assumptions!$F$7)*F13</f>
        <v>9.5399999999999999E-2</v>
      </c>
      <c r="G23" s="72">
        <f>Assumptions!$F$7+(Assumptions!$F$8-Assumptions!$F$7)*G13</f>
        <v>0.1036</v>
      </c>
      <c r="H23" s="72">
        <f>Assumptions!$F$7+(Assumptions!$F$8-Assumptions!$F$7)*H13</f>
        <v>0.1118</v>
      </c>
      <c r="I23" s="72">
        <f>Assumptions!$F$7+(Assumptions!$F$8-Assumptions!$F$7)*I13</f>
        <v>0.12</v>
      </c>
    </row>
    <row r="24" spans="2:11" x14ac:dyDescent="0.35">
      <c r="B24" s="71" t="s">
        <v>147</v>
      </c>
      <c r="C24" s="72">
        <f>Assumptions!$F$9+(Assumptions!$F$10-Assumptions!$F$9)*C13</f>
        <v>7.4999999999999997E-2</v>
      </c>
      <c r="D24" s="72">
        <f>Assumptions!$F$9+(Assumptions!$F$10-Assumptions!$F$9)*D13</f>
        <v>7.4999999999999997E-2</v>
      </c>
      <c r="E24" s="72">
        <f>Assumptions!$F$9+(Assumptions!$F$10-Assumptions!$F$9)*E13</f>
        <v>8.2000000000000003E-2</v>
      </c>
      <c r="F24" s="72">
        <f>Assumptions!$F$9+(Assumptions!$F$10-Assumptions!$F$9)*F13</f>
        <v>8.8999999999999996E-2</v>
      </c>
      <c r="G24" s="72">
        <f>Assumptions!$F$9+(Assumptions!$F$10-Assumptions!$F$9)*G13</f>
        <v>9.6000000000000002E-2</v>
      </c>
      <c r="H24" s="72">
        <f>Assumptions!$F$9+(Assumptions!$F$10-Assumptions!$F$9)*H13</f>
        <v>0.10300000000000001</v>
      </c>
      <c r="I24" s="72">
        <f>Assumptions!$F$9+(Assumptions!$F$10-Assumptions!$F$9)*I13</f>
        <v>0.11</v>
      </c>
    </row>
    <row r="25" spans="2:11" x14ac:dyDescent="0.35">
      <c r="B25" s="43" t="s">
        <v>148</v>
      </c>
      <c r="C25" s="30">
        <f t="shared" ref="C25:I26" si="1">C6*C23</f>
        <v>36.065869999999997</v>
      </c>
      <c r="D25" s="30">
        <f t="shared" si="1"/>
        <v>38.960430000000002</v>
      </c>
      <c r="E25" s="30">
        <f t="shared" si="1"/>
        <v>46.748792000000002</v>
      </c>
      <c r="F25" s="30">
        <f t="shared" si="1"/>
        <v>55.443618000000008</v>
      </c>
      <c r="G25" s="30">
        <f t="shared" si="1"/>
        <v>65.055620000000005</v>
      </c>
      <c r="H25" s="30">
        <f t="shared" si="1"/>
        <v>75.362144000000001</v>
      </c>
      <c r="I25" s="30">
        <f t="shared" si="1"/>
        <v>87.212795999999997</v>
      </c>
      <c r="J25" s="70">
        <f t="shared" ref="J25:J30" si="2">SUM(E25:I25)</f>
        <v>329.82297000000005</v>
      </c>
      <c r="K25" s="64" t="s">
        <v>149</v>
      </c>
    </row>
    <row r="26" spans="2:11" x14ac:dyDescent="0.35">
      <c r="B26" s="43" t="s">
        <v>150</v>
      </c>
      <c r="C26" s="30">
        <f t="shared" si="1"/>
        <v>50.332500000000003</v>
      </c>
      <c r="D26" s="30">
        <f t="shared" si="1"/>
        <v>53.652749999999997</v>
      </c>
      <c r="E26" s="30">
        <f t="shared" si="1"/>
        <v>62.551240000000007</v>
      </c>
      <c r="F26" s="30">
        <f t="shared" si="1"/>
        <v>72.907020000000003</v>
      </c>
      <c r="G26" s="30">
        <f t="shared" si="1"/>
        <v>83.525759999999991</v>
      </c>
      <c r="H26" s="30">
        <f t="shared" si="1"/>
        <v>94.980420000000024</v>
      </c>
      <c r="I26" s="30">
        <f t="shared" si="1"/>
        <v>107.435383</v>
      </c>
      <c r="J26" s="70">
        <f t="shared" si="2"/>
        <v>421.39982300000003</v>
      </c>
      <c r="K26" s="64" t="s">
        <v>151</v>
      </c>
    </row>
    <row r="27" spans="2:11" x14ac:dyDescent="0.35">
      <c r="B27" s="43" t="s">
        <v>152</v>
      </c>
      <c r="C27" s="30">
        <f>C10*C12*(Assumptions!$F$12*C13)*Assumptions!$F$13</f>
        <v>0</v>
      </c>
      <c r="D27" s="30">
        <f>D10*D12*(Assumptions!$F$12*D13)*Assumptions!$F$13</f>
        <v>0</v>
      </c>
      <c r="E27" s="30">
        <f>E10*E12*(Assumptions!$F$12*E13)*Assumptions!$F$13</f>
        <v>0.64491200000000015</v>
      </c>
      <c r="F27" s="30">
        <f>F10*F12*(Assumptions!$F$12*F13)*Assumptions!$F$13</f>
        <v>2.7701120000000001</v>
      </c>
      <c r="G27" s="30">
        <f>G10*G12*(Assumptions!$F$12*G13)*Assumptions!$F$13</f>
        <v>7.4835900000000004</v>
      </c>
      <c r="H27" s="30">
        <f>H10*H12*(Assumptions!$F$12*H13)*Assumptions!$F$13</f>
        <v>15.566400000000007</v>
      </c>
      <c r="I27" s="30">
        <f>I10*I12*(Assumptions!$F$12*I13)*Assumptions!$F$13</f>
        <v>28.18627900000001</v>
      </c>
      <c r="J27" s="70">
        <f t="shared" si="2"/>
        <v>54.651293000000017</v>
      </c>
      <c r="K27" s="64" t="s">
        <v>153</v>
      </c>
    </row>
    <row r="28" spans="2:11" x14ac:dyDescent="0.35">
      <c r="B28" s="43" t="s">
        <v>154</v>
      </c>
      <c r="C28" s="30">
        <f>C11*C12*(Assumptions!$F$14*C13)*Assumptions!$F$15</f>
        <v>0</v>
      </c>
      <c r="D28" s="30">
        <f>D11*D12*(Assumptions!$F$14*D13)*Assumptions!$F$15</f>
        <v>0</v>
      </c>
      <c r="E28" s="30">
        <f>E11*E12*(Assumptions!$F$14*E13)*Assumptions!$F$15</f>
        <v>0.30531600000000003</v>
      </c>
      <c r="F28" s="30">
        <f>F11*F12*(Assumptions!$F$14*F13)*Assumptions!$F$15</f>
        <v>1.3801680000000001</v>
      </c>
      <c r="G28" s="30">
        <f>G11*G12*(Assumptions!$F$14*G13)*Assumptions!$F$15</f>
        <v>3.8919487500000001</v>
      </c>
      <c r="H28" s="30">
        <f>H11*H12*(Assumptions!$F$14*H13)*Assumptions!$F$15</f>
        <v>8.3822399999999995</v>
      </c>
      <c r="I28" s="30">
        <f>I11*I12*(Assumptions!$F$14*I13)*Assumptions!$F$15</f>
        <v>15.703602750000003</v>
      </c>
      <c r="J28" s="70">
        <f t="shared" si="2"/>
        <v>29.663275500000005</v>
      </c>
      <c r="K28" s="64" t="s">
        <v>155</v>
      </c>
    </row>
    <row r="29" spans="2:11" x14ac:dyDescent="0.35">
      <c r="B29" s="43" t="s">
        <v>156</v>
      </c>
      <c r="C29" s="30">
        <f>C11*C12*(Assumptions!$F$16*C13)*Assumptions!$F$17</f>
        <v>0</v>
      </c>
      <c r="D29" s="30">
        <f>D11*D12*(Assumptions!$F$16*D13)*Assumptions!$F$17</f>
        <v>0</v>
      </c>
      <c r="E29" s="30">
        <f>E11*E12*(Assumptions!$F$16*E13)*Assumptions!$F$17</f>
        <v>0.19540224</v>
      </c>
      <c r="F29" s="30">
        <f>F11*F12*(Assumptions!$F$16*F13)*Assumptions!$F$17</f>
        <v>0.88330752000000001</v>
      </c>
      <c r="G29" s="30">
        <f>G11*G12*(Assumptions!$F$16*G13)*Assumptions!$F$17</f>
        <v>2.4908472000000002</v>
      </c>
      <c r="H29" s="30">
        <f>H11*H12*(Assumptions!$F$16*H13)*Assumptions!$F$17</f>
        <v>5.3646336000000012</v>
      </c>
      <c r="I29" s="30">
        <f>I11*I12*(Assumptions!$F$16*I13)*Assumptions!$F$17</f>
        <v>10.050305760000002</v>
      </c>
      <c r="J29" s="70">
        <f t="shared" si="2"/>
        <v>18.984496320000005</v>
      </c>
      <c r="K29" s="64" t="s">
        <v>157</v>
      </c>
    </row>
    <row r="30" spans="2:11" x14ac:dyDescent="0.35">
      <c r="B30" s="73" t="s">
        <v>158</v>
      </c>
      <c r="C30" s="74">
        <f t="shared" ref="C30:I30" si="3">SUM(C25:C29)</f>
        <v>86.39837</v>
      </c>
      <c r="D30" s="74">
        <f t="shared" si="3"/>
        <v>92.61318</v>
      </c>
      <c r="E30" s="74">
        <f t="shared" si="3"/>
        <v>110.44566224000003</v>
      </c>
      <c r="F30" s="74">
        <f t="shared" si="3"/>
        <v>133.38422552</v>
      </c>
      <c r="G30" s="74">
        <f t="shared" si="3"/>
        <v>162.44776594999999</v>
      </c>
      <c r="H30" s="74">
        <f t="shared" si="3"/>
        <v>199.65583760000004</v>
      </c>
      <c r="I30" s="74">
        <f t="shared" si="3"/>
        <v>248.58836651000004</v>
      </c>
      <c r="J30" s="74">
        <f t="shared" si="2"/>
        <v>854.52185782000004</v>
      </c>
    </row>
    <row r="32" spans="2:11" x14ac:dyDescent="0.35">
      <c r="B32" s="62" t="s">
        <v>159</v>
      </c>
      <c r="C32" s="13"/>
      <c r="D32" s="13"/>
      <c r="E32" s="13"/>
      <c r="F32" s="13"/>
      <c r="G32" s="13"/>
      <c r="H32" s="13"/>
      <c r="I32" s="13"/>
      <c r="J32" s="13"/>
      <c r="K32" s="13"/>
    </row>
    <row r="33" spans="2:11" x14ac:dyDescent="0.35">
      <c r="B33" s="36" t="s">
        <v>126</v>
      </c>
      <c r="C33" s="41" t="s">
        <v>41</v>
      </c>
      <c r="D33" s="41" t="s">
        <v>42</v>
      </c>
      <c r="E33" s="41" t="s">
        <v>43</v>
      </c>
      <c r="F33" s="41" t="s">
        <v>44</v>
      </c>
      <c r="G33" s="41" t="s">
        <v>45</v>
      </c>
      <c r="H33" s="41" t="s">
        <v>46</v>
      </c>
      <c r="I33" s="41" t="s">
        <v>47</v>
      </c>
      <c r="J33" s="42" t="s">
        <v>127</v>
      </c>
      <c r="K33" s="36" t="s">
        <v>128</v>
      </c>
    </row>
    <row r="34" spans="2:11" x14ac:dyDescent="0.35">
      <c r="B34" s="75" t="s">
        <v>160</v>
      </c>
      <c r="C34" s="76">
        <f t="shared" ref="C34:I34" si="4">C30-C19</f>
        <v>0</v>
      </c>
      <c r="D34" s="76">
        <f t="shared" si="4"/>
        <v>0</v>
      </c>
      <c r="E34" s="76">
        <f t="shared" si="4"/>
        <v>10.881472240000036</v>
      </c>
      <c r="F34" s="76">
        <f t="shared" si="4"/>
        <v>26.033295519999996</v>
      </c>
      <c r="G34" s="76">
        <f t="shared" si="4"/>
        <v>47.585215949999991</v>
      </c>
      <c r="H34" s="76">
        <f t="shared" si="4"/>
        <v>77.24301760000003</v>
      </c>
      <c r="I34" s="76">
        <f t="shared" si="4"/>
        <v>117.92187831000004</v>
      </c>
      <c r="J34" s="77">
        <f>SUM(E34:I34)</f>
        <v>279.66487962000008</v>
      </c>
    </row>
    <row r="35" spans="2:11" x14ac:dyDescent="0.35">
      <c r="B35" s="71" t="s">
        <v>161</v>
      </c>
      <c r="C35" s="72">
        <f t="shared" ref="C35:I35" si="5">IF(C30=0,0,(C27+C28+C29)/C30)</f>
        <v>0</v>
      </c>
      <c r="D35" s="72">
        <f t="shared" si="5"/>
        <v>0</v>
      </c>
      <c r="E35" s="72">
        <f t="shared" si="5"/>
        <v>1.0372795243968287E-2</v>
      </c>
      <c r="F35" s="72">
        <f t="shared" si="5"/>
        <v>3.773750231990701E-2</v>
      </c>
      <c r="G35" s="72">
        <f t="shared" si="5"/>
        <v>8.5359043683419775E-2</v>
      </c>
      <c r="H35" s="72">
        <f t="shared" si="5"/>
        <v>0.14681901592443095</v>
      </c>
      <c r="I35" s="72">
        <f t="shared" si="5"/>
        <v>0.21698596868100078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21"/>
  <sheetViews>
    <sheetView showGridLines="0" zoomScale="130" zoomScaleNormal="130" workbookViewId="0">
      <selection activeCell="F13" sqref="F13"/>
    </sheetView>
  </sheetViews>
  <sheetFormatPr defaultColWidth="8.6328125" defaultRowHeight="14.5" x14ac:dyDescent="0.35"/>
  <cols>
    <col min="1" max="1" width="2" customWidth="1"/>
    <col min="2" max="2" width="44" customWidth="1"/>
    <col min="3" max="9" width="11" customWidth="1"/>
    <col min="10" max="10" width="3" customWidth="1"/>
    <col min="11" max="11" width="42" customWidth="1"/>
  </cols>
  <sheetData>
    <row r="1" spans="2:11" ht="16.5" x14ac:dyDescent="0.35">
      <c r="B1" s="23" t="s">
        <v>162</v>
      </c>
      <c r="C1" s="11"/>
      <c r="D1" s="11"/>
      <c r="E1" s="11"/>
      <c r="F1" s="11"/>
      <c r="G1" s="11"/>
      <c r="H1" s="11"/>
      <c r="I1" s="11"/>
      <c r="J1" s="11"/>
      <c r="K1" s="11"/>
    </row>
    <row r="2" spans="2:11" x14ac:dyDescent="0.35">
      <c r="B2" s="60" t="str">
        <f>CONCATENATE("Active scenario: ",Assumptions!D3)</f>
        <v>Active scenario: BASE</v>
      </c>
    </row>
    <row r="4" spans="2:11" x14ac:dyDescent="0.35">
      <c r="B4" s="62" t="s">
        <v>163</v>
      </c>
      <c r="C4" s="13"/>
      <c r="D4" s="13"/>
      <c r="E4" s="13"/>
      <c r="F4" s="13"/>
      <c r="G4" s="13"/>
      <c r="H4" s="13"/>
      <c r="I4" s="13"/>
      <c r="K4" s="13"/>
    </row>
    <row r="5" spans="2:11" x14ac:dyDescent="0.35">
      <c r="B5" s="78"/>
      <c r="C5" s="41" t="s">
        <v>41</v>
      </c>
      <c r="D5" s="41" t="s">
        <v>42</v>
      </c>
      <c r="E5" s="41" t="s">
        <v>43</v>
      </c>
      <c r="F5" s="41" t="s">
        <v>44</v>
      </c>
      <c r="G5" s="41" t="s">
        <v>45</v>
      </c>
      <c r="H5" s="41" t="s">
        <v>46</v>
      </c>
      <c r="I5" s="41" t="s">
        <v>47</v>
      </c>
      <c r="K5" s="36" t="s">
        <v>164</v>
      </c>
    </row>
    <row r="6" spans="2:11" x14ac:dyDescent="0.35">
      <c r="B6" s="28" t="s">
        <v>165</v>
      </c>
      <c r="C6" s="72">
        <f>'Revenue Model'!C17/'Revenue Model'!C8</f>
        <v>5.0252013376062422E-2</v>
      </c>
      <c r="D6" s="72">
        <f>'Revenue Model'!D17/'Revenue Model'!D8</f>
        <v>5.1918165827136813E-2</v>
      </c>
      <c r="E6" s="72">
        <f>'Revenue Model'!E17/'Revenue Model'!E8</f>
        <v>5.3593361678434946E-2</v>
      </c>
      <c r="F6" s="72">
        <f>'Revenue Model'!F17/'Revenue Model'!F8</f>
        <v>5.4944149254445802E-2</v>
      </c>
      <c r="G6" s="72">
        <f>'Revenue Model'!G17/'Revenue Model'!G8</f>
        <v>5.6242403972608962E-2</v>
      </c>
      <c r="H6" s="72">
        <f>'Revenue Model'!H17/'Revenue Model'!H8</f>
        <v>5.7235326361496544E-2</v>
      </c>
      <c r="I6" s="72">
        <f>'Revenue Model'!I17/'Revenue Model'!I8</f>
        <v>5.8142717741171905E-2</v>
      </c>
    </row>
    <row r="7" spans="2:11" x14ac:dyDescent="0.35">
      <c r="B7" s="43" t="s">
        <v>166</v>
      </c>
      <c r="C7" s="50">
        <f>'Revenue Model'!C25/'Revenue Model'!C8</f>
        <v>5.0252013376062422E-2</v>
      </c>
      <c r="D7" s="50">
        <f>'Revenue Model'!D25/'Revenue Model'!D8</f>
        <v>5.1918165827136813E-2</v>
      </c>
      <c r="E7" s="50">
        <f>'Revenue Model'!E25/'Revenue Model'!E8</f>
        <v>5.9156216941259838E-2</v>
      </c>
      <c r="F7" s="50">
        <f>'Revenue Model'!F25/'Revenue Model'!F8</f>
        <v>6.6350276441444672E-2</v>
      </c>
      <c r="G7" s="50">
        <f>'Revenue Model'!G25/'Revenue Model'!G8</f>
        <v>7.3755861412180865E-2</v>
      </c>
      <c r="H7" s="50">
        <f>'Revenue Model'!H25/'Revenue Model'!H8</f>
        <v>8.0998854268548262E-2</v>
      </c>
      <c r="I7" s="50">
        <f>'Revenue Model'!I25/'Revenue Model'!I8</f>
        <v>8.8318052265071237E-2</v>
      </c>
      <c r="K7" s="64" t="s">
        <v>167</v>
      </c>
    </row>
    <row r="8" spans="2:11" x14ac:dyDescent="0.35">
      <c r="B8" s="28" t="s">
        <v>168</v>
      </c>
      <c r="C8" s="72">
        <f>'Revenue Model'!C18/'Revenue Model'!C9</f>
        <v>4.1161678115799807E-2</v>
      </c>
      <c r="D8" s="72">
        <f>'Revenue Model'!D18/'Revenue Model'!D9</f>
        <v>4.2280217182303896E-2</v>
      </c>
      <c r="E8" s="72">
        <f>'Revenue Model'!E18/'Revenue Model'!E9</f>
        <v>4.2937393053345742E-2</v>
      </c>
      <c r="F8" s="72">
        <f>'Revenue Model'!F18/'Revenue Model'!F9</f>
        <v>4.3657623216417481E-2</v>
      </c>
      <c r="G8" s="72">
        <f>'Revenue Model'!G18/'Revenue Model'!G9</f>
        <v>4.4097135404347905E-2</v>
      </c>
      <c r="H8" s="72">
        <f>'Revenue Model'!H18/'Revenue Model'!H9</f>
        <v>4.4393984132282328E-2</v>
      </c>
      <c r="I8" s="72">
        <f>'Revenue Model'!I18/'Revenue Model'!I9</f>
        <v>4.4576575039870163E-2</v>
      </c>
    </row>
    <row r="9" spans="2:11" x14ac:dyDescent="0.35">
      <c r="B9" s="43" t="s">
        <v>169</v>
      </c>
      <c r="C9" s="50">
        <f>'Revenue Model'!C26/'Revenue Model'!C9</f>
        <v>4.1161678115799807E-2</v>
      </c>
      <c r="D9" s="50">
        <f>'Revenue Model'!D26/'Revenue Model'!D9</f>
        <v>4.2280217182303896E-2</v>
      </c>
      <c r="E9" s="50">
        <f>'Revenue Model'!E26/'Revenue Model'!E9</f>
        <v>4.6944883071658013E-2</v>
      </c>
      <c r="F9" s="50">
        <f>'Revenue Model'!F26/'Revenue Model'!F9</f>
        <v>5.1807046216815408E-2</v>
      </c>
      <c r="G9" s="50">
        <f>'Revenue Model'!G26/'Revenue Model'!G9</f>
        <v>5.6444333317565314E-2</v>
      </c>
      <c r="H9" s="50">
        <f>'Revenue Model'!H26/'Revenue Model'!H9</f>
        <v>6.0967738208334413E-2</v>
      </c>
      <c r="I9" s="50">
        <f>'Revenue Model'!I26/'Revenue Model'!I9</f>
        <v>6.5378976725142909E-2</v>
      </c>
      <c r="K9" s="64" t="s">
        <v>170</v>
      </c>
    </row>
    <row r="11" spans="2:11" x14ac:dyDescent="0.35">
      <c r="B11" s="62" t="s">
        <v>171</v>
      </c>
      <c r="C11" s="13"/>
      <c r="D11" s="13"/>
      <c r="E11" s="13"/>
      <c r="F11" s="13"/>
      <c r="G11" s="13"/>
      <c r="H11" s="13"/>
      <c r="I11" s="13"/>
      <c r="K11" s="13"/>
    </row>
    <row r="12" spans="2:11" x14ac:dyDescent="0.35">
      <c r="B12" s="78"/>
      <c r="C12" s="41" t="s">
        <v>41</v>
      </c>
      <c r="D12" s="41" t="s">
        <v>42</v>
      </c>
      <c r="E12" s="41" t="s">
        <v>43</v>
      </c>
      <c r="F12" s="41" t="s">
        <v>44</v>
      </c>
      <c r="G12" s="41" t="s">
        <v>45</v>
      </c>
      <c r="H12" s="41" t="s">
        <v>46</v>
      </c>
      <c r="I12" s="41" t="s">
        <v>47</v>
      </c>
      <c r="K12" s="36" t="s">
        <v>164</v>
      </c>
    </row>
    <row r="13" spans="2:11" x14ac:dyDescent="0.35">
      <c r="B13" s="43" t="s">
        <v>172</v>
      </c>
      <c r="C13" s="67">
        <f>'Market (Omdia)'!C34</f>
        <v>0.33600000000000002</v>
      </c>
      <c r="D13" s="79">
        <f>$C13+(Assumptions!$F$19-$C13)*'Revenue Model'!D13</f>
        <v>0.33600000000000002</v>
      </c>
      <c r="E13" s="79">
        <f>$C13+(Assumptions!$F$19-$C13)*'Revenue Model'!E13</f>
        <v>0.32280000000000003</v>
      </c>
      <c r="F13" s="79">
        <f>$C13+(Assumptions!$F$19-$C13)*'Revenue Model'!F13</f>
        <v>0.30960000000000004</v>
      </c>
      <c r="G13" s="79">
        <f>$C13+(Assumptions!$F$19-$C13)*'Revenue Model'!G13</f>
        <v>0.2964</v>
      </c>
      <c r="H13" s="79">
        <f>$C13+(Assumptions!$F$19-$C13)*'Revenue Model'!H13</f>
        <v>0.28320000000000001</v>
      </c>
      <c r="I13" s="79">
        <f>$C13+(Assumptions!$F$19-$C13)*'Revenue Model'!I13</f>
        <v>0.27</v>
      </c>
      <c r="K13" s="64" t="s">
        <v>173</v>
      </c>
    </row>
    <row r="14" spans="2:11" x14ac:dyDescent="0.35">
      <c r="B14" s="28" t="s">
        <v>174</v>
      </c>
      <c r="C14" s="80">
        <f t="shared" ref="C14:I14" si="0">$C13-C13</f>
        <v>0</v>
      </c>
      <c r="D14" s="80">
        <f t="shared" si="0"/>
        <v>0</v>
      </c>
      <c r="E14" s="80">
        <f t="shared" si="0"/>
        <v>1.319999999999999E-2</v>
      </c>
      <c r="F14" s="80">
        <f t="shared" si="0"/>
        <v>2.6399999999999979E-2</v>
      </c>
      <c r="G14" s="80">
        <f t="shared" si="0"/>
        <v>3.9600000000000024E-2</v>
      </c>
      <c r="H14" s="80">
        <f t="shared" si="0"/>
        <v>5.2800000000000014E-2</v>
      </c>
      <c r="I14" s="80">
        <f t="shared" si="0"/>
        <v>6.6000000000000003E-2</v>
      </c>
    </row>
    <row r="15" spans="2:11" x14ac:dyDescent="0.35">
      <c r="B15" s="43" t="s">
        <v>175</v>
      </c>
      <c r="C15" s="81">
        <f>C14*'Revenue Model'!C8</f>
        <v>0</v>
      </c>
      <c r="D15" s="81">
        <f>D14*'Revenue Model'!D8</f>
        <v>0</v>
      </c>
      <c r="E15" s="81">
        <f>E14*'Revenue Model'!E8</f>
        <v>10.431431999999992</v>
      </c>
      <c r="F15" s="81">
        <f>F14*'Revenue Model'!F8</f>
        <v>22.060367999999986</v>
      </c>
      <c r="G15" s="81">
        <f>G14*'Revenue Model'!G8</f>
        <v>34.928784000000022</v>
      </c>
      <c r="H15" s="81">
        <f>H14*'Revenue Model'!H8</f>
        <v>49.12564800000002</v>
      </c>
      <c r="I15" s="81">
        <f>I14*'Revenue Model'!I8</f>
        <v>65.174042999999998</v>
      </c>
      <c r="K15" s="64" t="s">
        <v>176</v>
      </c>
    </row>
    <row r="16" spans="2:11" x14ac:dyDescent="0.35">
      <c r="B16" s="28" t="s">
        <v>177</v>
      </c>
      <c r="C16" s="30">
        <f>'Revenue Model'!C25-'Revenue Model'!C17</f>
        <v>0</v>
      </c>
      <c r="D16" s="30">
        <f>'Revenue Model'!D25-'Revenue Model'!D17</f>
        <v>0</v>
      </c>
      <c r="E16" s="30">
        <f>'Revenue Model'!E25-'Revenue Model'!E17</f>
        <v>4.3961019999999991</v>
      </c>
      <c r="F16" s="30">
        <f>'Revenue Model'!F25-'Revenue Model'!F17</f>
        <v>9.5311880000000002</v>
      </c>
      <c r="G16" s="30">
        <f>'Revenue Model'!G25-'Revenue Model'!G17</f>
        <v>15.447569999999999</v>
      </c>
      <c r="H16" s="30">
        <f>'Revenue Model'!H25-'Revenue Model'!H17</f>
        <v>22.109823999999996</v>
      </c>
      <c r="I16" s="30">
        <f>'Revenue Model'!I25-'Revenue Model'!I17</f>
        <v>29.79770529999999</v>
      </c>
    </row>
    <row r="17" spans="2:11" ht="20" x14ac:dyDescent="0.35">
      <c r="B17" s="71" t="s">
        <v>178</v>
      </c>
      <c r="C17" s="72">
        <f t="shared" ref="C17:I17" si="1">IF(C15=0,0,C16/C15)</f>
        <v>0</v>
      </c>
      <c r="D17" s="72">
        <f t="shared" si="1"/>
        <v>0</v>
      </c>
      <c r="E17" s="72">
        <f t="shared" si="1"/>
        <v>0.4214284290018861</v>
      </c>
      <c r="F17" s="72">
        <f t="shared" si="1"/>
        <v>0.43205027223480613</v>
      </c>
      <c r="G17" s="72">
        <f t="shared" si="1"/>
        <v>0.4422590262518154</v>
      </c>
      <c r="H17" s="72">
        <f t="shared" si="1"/>
        <v>0.45006681642143403</v>
      </c>
      <c r="I17" s="72">
        <f t="shared" si="1"/>
        <v>0.45720203824089894</v>
      </c>
      <c r="K17" s="82" t="s">
        <v>179</v>
      </c>
    </row>
    <row r="19" spans="2:11" ht="19.5" customHeight="1" x14ac:dyDescent="0.35">
      <c r="B19" s="6" t="s">
        <v>180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2:11" x14ac:dyDescent="0.35">
      <c r="B21" s="6"/>
      <c r="C21" s="6"/>
      <c r="D21" s="6"/>
      <c r="E21" s="6"/>
      <c r="F21" s="6"/>
      <c r="G21" s="6"/>
      <c r="H21" s="6"/>
      <c r="I21" s="6"/>
      <c r="J21" s="6"/>
      <c r="K21" s="6"/>
    </row>
  </sheetData>
  <mergeCells count="1">
    <mergeCell ref="B19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37"/>
  <sheetViews>
    <sheetView showGridLines="0" topLeftCell="A3" zoomScaleNormal="100" workbookViewId="0">
      <selection activeCell="H23" sqref="H23"/>
    </sheetView>
  </sheetViews>
  <sheetFormatPr defaultColWidth="8.6328125" defaultRowHeight="14.5" x14ac:dyDescent="0.35"/>
  <cols>
    <col min="1" max="1" width="2" customWidth="1"/>
    <col min="2" max="2" width="34" customWidth="1"/>
    <col min="3" max="8" width="12" customWidth="1"/>
    <col min="9" max="9" width="2" customWidth="1"/>
  </cols>
  <sheetData>
    <row r="1" spans="2:8" ht="16.5" x14ac:dyDescent="0.35">
      <c r="B1" s="23" t="s">
        <v>181</v>
      </c>
      <c r="C1" s="11"/>
      <c r="D1" s="11"/>
      <c r="E1" s="11"/>
      <c r="F1" s="11"/>
      <c r="G1" s="11"/>
      <c r="H1" s="11"/>
    </row>
    <row r="2" spans="2:8" x14ac:dyDescent="0.35">
      <c r="B2" s="5" t="str">
        <f>CONCATENATE("Scenario: ",Assumptions!D3,"   |   Plan window 2026-2030   |   US$m")</f>
        <v>Scenario: BASE   |   Plan window 2026-2030   |   US$m</v>
      </c>
      <c r="C2" s="5"/>
      <c r="D2" s="5"/>
      <c r="E2" s="5"/>
      <c r="F2" s="5"/>
      <c r="G2" s="5"/>
      <c r="H2" s="5"/>
    </row>
    <row r="4" spans="2:8" x14ac:dyDescent="0.35">
      <c r="B4" s="62" t="s">
        <v>182</v>
      </c>
      <c r="C4" s="13"/>
      <c r="D4" s="13"/>
      <c r="E4" s="13"/>
      <c r="F4" s="13"/>
      <c r="G4" s="13"/>
      <c r="H4" s="13"/>
    </row>
    <row r="5" spans="2:8" x14ac:dyDescent="0.35">
      <c r="B5" s="66" t="s">
        <v>183</v>
      </c>
      <c r="C5" s="4">
        <f>'Revenue Model'!J30</f>
        <v>854.52185782000004</v>
      </c>
      <c r="D5" s="4"/>
    </row>
    <row r="6" spans="2:8" x14ac:dyDescent="0.35">
      <c r="B6" s="66" t="s">
        <v>184</v>
      </c>
      <c r="C6" s="4">
        <f>'Revenue Model'!J19</f>
        <v>574.85697819999996</v>
      </c>
      <c r="D6" s="4"/>
    </row>
    <row r="7" spans="2:8" x14ac:dyDescent="0.35">
      <c r="B7" s="66" t="s">
        <v>185</v>
      </c>
      <c r="C7" s="3">
        <f>'Revenue Model'!J34</f>
        <v>279.66487962000008</v>
      </c>
      <c r="D7" s="3"/>
    </row>
    <row r="8" spans="2:8" x14ac:dyDescent="0.35">
      <c r="B8" s="66" t="s">
        <v>186</v>
      </c>
      <c r="C8" s="4">
        <f>'Revenue Model'!I30</f>
        <v>248.58836651000004</v>
      </c>
      <c r="D8" s="4"/>
    </row>
    <row r="9" spans="2:8" x14ac:dyDescent="0.35">
      <c r="B9" s="66" t="s">
        <v>187</v>
      </c>
      <c r="C9" s="4">
        <f>'Revenue Model'!I34</f>
        <v>117.92187831000004</v>
      </c>
      <c r="D9" s="4"/>
    </row>
    <row r="10" spans="2:8" x14ac:dyDescent="0.35">
      <c r="B10" s="66" t="s">
        <v>188</v>
      </c>
      <c r="C10" s="4">
        <f>'Revenue Model'!J27+'Revenue Model'!J28+'Revenue Model'!J29</f>
        <v>103.29906482000003</v>
      </c>
      <c r="D10" s="4"/>
    </row>
    <row r="11" spans="2:8" x14ac:dyDescent="0.35">
      <c r="B11" s="66" t="s">
        <v>189</v>
      </c>
      <c r="C11" s="2">
        <f>'Share &amp; Disruption'!I7</f>
        <v>8.8318052265071237E-2</v>
      </c>
      <c r="D11" s="2"/>
    </row>
    <row r="12" spans="2:8" x14ac:dyDescent="0.35">
      <c r="B12" s="66" t="s">
        <v>190</v>
      </c>
      <c r="C12" s="2">
        <f>'Share &amp; Disruption'!I9</f>
        <v>6.5378976725142909E-2</v>
      </c>
      <c r="D12" s="2"/>
    </row>
    <row r="14" spans="2:8" x14ac:dyDescent="0.35">
      <c r="B14" s="62" t="s">
        <v>191</v>
      </c>
      <c r="C14" s="13"/>
      <c r="D14" s="13"/>
      <c r="E14" s="13"/>
      <c r="F14" s="13"/>
      <c r="G14" s="13"/>
      <c r="H14" s="13"/>
    </row>
    <row r="15" spans="2:8" x14ac:dyDescent="0.35">
      <c r="B15" s="36" t="s">
        <v>192</v>
      </c>
      <c r="C15" s="41" t="s">
        <v>43</v>
      </c>
      <c r="D15" s="41" t="s">
        <v>44</v>
      </c>
      <c r="E15" s="41" t="s">
        <v>45</v>
      </c>
      <c r="F15" s="41" t="s">
        <v>46</v>
      </c>
      <c r="G15" s="41" t="s">
        <v>47</v>
      </c>
      <c r="H15" s="41" t="s">
        <v>193</v>
      </c>
    </row>
    <row r="16" spans="2:8" x14ac:dyDescent="0.35">
      <c r="B16" s="28" t="s">
        <v>148</v>
      </c>
      <c r="C16" s="63">
        <f>'Revenue Model'!E25</f>
        <v>46.748792000000002</v>
      </c>
      <c r="D16" s="63">
        <f>'Revenue Model'!F25</f>
        <v>55.443618000000008</v>
      </c>
      <c r="E16" s="63">
        <f>'Revenue Model'!G25</f>
        <v>65.055620000000005</v>
      </c>
      <c r="F16" s="63">
        <f>'Revenue Model'!H25</f>
        <v>75.362144000000001</v>
      </c>
      <c r="G16" s="63">
        <f>'Revenue Model'!I25</f>
        <v>87.212795999999997</v>
      </c>
      <c r="H16" s="70">
        <f t="shared" ref="H16:H23" si="0">SUM(C16:G16)</f>
        <v>329.82297000000005</v>
      </c>
    </row>
    <row r="17" spans="2:8" x14ac:dyDescent="0.35">
      <c r="B17" s="28" t="s">
        <v>150</v>
      </c>
      <c r="C17" s="63">
        <f>'Revenue Model'!E26</f>
        <v>62.551240000000007</v>
      </c>
      <c r="D17" s="63">
        <f>'Revenue Model'!F26</f>
        <v>72.907020000000003</v>
      </c>
      <c r="E17" s="63">
        <f>'Revenue Model'!G26</f>
        <v>83.525759999999991</v>
      </c>
      <c r="F17" s="63">
        <f>'Revenue Model'!H26</f>
        <v>94.980420000000024</v>
      </c>
      <c r="G17" s="63">
        <f>'Revenue Model'!I26</f>
        <v>107.435383</v>
      </c>
      <c r="H17" s="70">
        <f t="shared" si="0"/>
        <v>421.39982300000003</v>
      </c>
    </row>
    <row r="18" spans="2:8" x14ac:dyDescent="0.35">
      <c r="B18" s="28" t="s">
        <v>194</v>
      </c>
      <c r="C18" s="63">
        <f>'Revenue Model'!E27</f>
        <v>0.64491200000000015</v>
      </c>
      <c r="D18" s="63">
        <f>'Revenue Model'!F27</f>
        <v>2.7701120000000001</v>
      </c>
      <c r="E18" s="63">
        <f>'Revenue Model'!G27</f>
        <v>7.4835900000000004</v>
      </c>
      <c r="F18" s="63">
        <f>'Revenue Model'!H27</f>
        <v>15.566400000000007</v>
      </c>
      <c r="G18" s="63">
        <f>'Revenue Model'!I27</f>
        <v>28.18627900000001</v>
      </c>
      <c r="H18" s="70">
        <f t="shared" si="0"/>
        <v>54.651293000000017</v>
      </c>
    </row>
    <row r="19" spans="2:8" x14ac:dyDescent="0.35">
      <c r="B19" s="28" t="s">
        <v>195</v>
      </c>
      <c r="C19" s="63">
        <f>'Revenue Model'!E28</f>
        <v>0.30531600000000003</v>
      </c>
      <c r="D19" s="63">
        <f>'Revenue Model'!F28</f>
        <v>1.3801680000000001</v>
      </c>
      <c r="E19" s="63">
        <f>'Revenue Model'!G28</f>
        <v>3.8919487500000001</v>
      </c>
      <c r="F19" s="63">
        <f>'Revenue Model'!H28</f>
        <v>8.3822399999999995</v>
      </c>
      <c r="G19" s="63">
        <f>'Revenue Model'!I28</f>
        <v>15.703602750000003</v>
      </c>
      <c r="H19" s="70">
        <f t="shared" si="0"/>
        <v>29.663275500000005</v>
      </c>
    </row>
    <row r="20" spans="2:8" x14ac:dyDescent="0.35">
      <c r="B20" s="28" t="s">
        <v>156</v>
      </c>
      <c r="C20" s="63">
        <f>'Revenue Model'!E29</f>
        <v>0.19540224</v>
      </c>
      <c r="D20" s="63">
        <f>'Revenue Model'!F29</f>
        <v>0.88330752000000001</v>
      </c>
      <c r="E20" s="63">
        <f>'Revenue Model'!G29</f>
        <v>2.4908472000000002</v>
      </c>
      <c r="F20" s="63">
        <f>'Revenue Model'!H29</f>
        <v>5.3646336000000012</v>
      </c>
      <c r="G20" s="63">
        <f>'Revenue Model'!I29</f>
        <v>10.050305760000002</v>
      </c>
      <c r="H20" s="70">
        <f t="shared" si="0"/>
        <v>18.984496320000005</v>
      </c>
    </row>
    <row r="21" spans="2:8" x14ac:dyDescent="0.35">
      <c r="B21" s="33" t="s">
        <v>196</v>
      </c>
      <c r="C21" s="34">
        <f>SUM(C16:C20)</f>
        <v>110.44566224000003</v>
      </c>
      <c r="D21" s="34">
        <f>SUM(D16:D20)</f>
        <v>133.38422552</v>
      </c>
      <c r="E21" s="34">
        <f>SUM(E16:E20)</f>
        <v>162.44776594999999</v>
      </c>
      <c r="F21" s="34">
        <f>SUM(F16:F20)</f>
        <v>199.65583760000004</v>
      </c>
      <c r="G21" s="34">
        <f>SUM(G16:G20)</f>
        <v>248.58836651000004</v>
      </c>
      <c r="H21" s="34">
        <f t="shared" si="0"/>
        <v>854.52185782000004</v>
      </c>
    </row>
    <row r="22" spans="2:8" x14ac:dyDescent="0.35">
      <c r="B22" s="28" t="s">
        <v>197</v>
      </c>
      <c r="C22" s="63">
        <f>'Revenue Model'!E19</f>
        <v>99.564189999999996</v>
      </c>
      <c r="D22" s="63">
        <f>'Revenue Model'!F19</f>
        <v>107.35093000000001</v>
      </c>
      <c r="E22" s="63">
        <f>'Revenue Model'!G19</f>
        <v>114.86255</v>
      </c>
      <c r="F22" s="63">
        <f>'Revenue Model'!H19</f>
        <v>122.41282000000001</v>
      </c>
      <c r="G22" s="63">
        <f>'Revenue Model'!I19</f>
        <v>130.6664882</v>
      </c>
      <c r="H22" s="70">
        <f t="shared" si="0"/>
        <v>574.85697819999996</v>
      </c>
    </row>
    <row r="23" spans="2:8" x14ac:dyDescent="0.35">
      <c r="B23" s="83" t="s">
        <v>198</v>
      </c>
      <c r="C23" s="81">
        <f>C21-C22</f>
        <v>10.881472240000036</v>
      </c>
      <c r="D23" s="81">
        <f>D21-D22</f>
        <v>26.033295519999996</v>
      </c>
      <c r="E23" s="81">
        <f>E21-E22</f>
        <v>47.585215949999991</v>
      </c>
      <c r="F23" s="81">
        <f>F21-F22</f>
        <v>77.24301760000003</v>
      </c>
      <c r="G23" s="81">
        <f>G21-G22</f>
        <v>117.92187831000004</v>
      </c>
      <c r="H23" s="84">
        <f t="shared" si="0"/>
        <v>279.66487962000008</v>
      </c>
    </row>
    <row r="25" spans="2:8" x14ac:dyDescent="0.35">
      <c r="B25" s="62" t="s">
        <v>199</v>
      </c>
      <c r="C25" s="13"/>
      <c r="D25" s="13"/>
      <c r="E25" s="13"/>
      <c r="F25" s="13"/>
      <c r="G25" s="13"/>
      <c r="H25" s="13"/>
    </row>
    <row r="26" spans="2:8" x14ac:dyDescent="0.35">
      <c r="B26" s="36" t="s">
        <v>200</v>
      </c>
      <c r="C26" s="41" t="s">
        <v>86</v>
      </c>
      <c r="D26" s="41" t="s">
        <v>87</v>
      </c>
      <c r="E26" s="41" t="s">
        <v>88</v>
      </c>
    </row>
    <row r="27" spans="2:8" x14ac:dyDescent="0.35">
      <c r="B27" s="28" t="s">
        <v>148</v>
      </c>
      <c r="C27" s="30">
        <f>'Market (Omdia)'!I24*Assumptions!C8</f>
        <v>65.409597000000005</v>
      </c>
      <c r="D27" s="30">
        <f>'Market (Omdia)'!I24*Assumptions!D8</f>
        <v>87.212795999999997</v>
      </c>
      <c r="E27" s="30">
        <f>'Market (Omdia)'!I24*Assumptions!E8</f>
        <v>116.28372800000001</v>
      </c>
    </row>
    <row r="28" spans="2:8" x14ac:dyDescent="0.35">
      <c r="B28" s="28" t="s">
        <v>150</v>
      </c>
      <c r="C28" s="30">
        <f>'Market (Omdia)'!I13*Assumptions!C10</f>
        <v>83.018250500000008</v>
      </c>
      <c r="D28" s="30">
        <f>'Market (Omdia)'!I13*Assumptions!D10</f>
        <v>107.435383</v>
      </c>
      <c r="E28" s="30">
        <f>'Market (Omdia)'!I13*Assumptions!E10</f>
        <v>141.61936849999998</v>
      </c>
    </row>
    <row r="29" spans="2:8" x14ac:dyDescent="0.35">
      <c r="B29" s="28" t="s">
        <v>194</v>
      </c>
      <c r="C29" s="30">
        <f>'Market (Omdia)'!I30*Assumptions!H23*Assumptions!C12*Assumptions!C13</f>
        <v>7.7896625600000027</v>
      </c>
      <c r="D29" s="30">
        <f>'Market (Omdia)'!I30*Assumptions!H24*Assumptions!D12*Assumptions!D13</f>
        <v>28.18627900000001</v>
      </c>
      <c r="E29" s="30">
        <f>'Market (Omdia)'!I30*Assumptions!H25*Assumptions!E12*Assumptions!E13</f>
        <v>69.95321970000002</v>
      </c>
    </row>
    <row r="30" spans="2:8" x14ac:dyDescent="0.35">
      <c r="B30" s="28" t="s">
        <v>195</v>
      </c>
      <c r="C30" s="30">
        <f>'Market (Omdia)'!I29*Assumptions!H23*Assumptions!C14*Assumptions!C15</f>
        <v>4.629231744000001</v>
      </c>
      <c r="D30" s="30">
        <f>'Market (Omdia)'!I29*Assumptions!H24*Assumptions!D14*Assumptions!D15</f>
        <v>15.703602750000003</v>
      </c>
      <c r="E30" s="30">
        <f>'Market (Omdia)'!I29*Assumptions!H25*Assumptions!E14*Assumptions!E15</f>
        <v>39.084522400000004</v>
      </c>
    </row>
    <row r="31" spans="2:8" x14ac:dyDescent="0.35">
      <c r="B31" s="28" t="s">
        <v>156</v>
      </c>
      <c r="C31" s="30">
        <f>'Market (Omdia)'!I29*Assumptions!H23*Assumptions!C16*Assumptions!C17</f>
        <v>2.8932698400000008</v>
      </c>
      <c r="D31" s="30">
        <f>'Market (Omdia)'!I29*Assumptions!H24*Assumptions!D16*Assumptions!D17</f>
        <v>10.050305760000002</v>
      </c>
      <c r="E31" s="30">
        <f>'Market (Omdia)'!I29*Assumptions!H25*Assumptions!E16*Assumptions!E17</f>
        <v>27.359165680000007</v>
      </c>
    </row>
    <row r="32" spans="2:8" x14ac:dyDescent="0.35">
      <c r="B32" s="33" t="s">
        <v>196</v>
      </c>
      <c r="C32" s="34">
        <f>SUM(C27:C31)</f>
        <v>163.74001164400002</v>
      </c>
      <c r="D32" s="34">
        <f>SUM(D27:D31)</f>
        <v>248.58836651000004</v>
      </c>
      <c r="E32" s="34">
        <f>SUM(E27:E31)</f>
        <v>394.30000428000005</v>
      </c>
    </row>
    <row r="33" spans="2:8" x14ac:dyDescent="0.35">
      <c r="B33" s="28" t="s">
        <v>197</v>
      </c>
      <c r="C33" s="30">
        <f>'Market (Omdia)'!I24*Assumptions!C7+'Market (Omdia)'!I13*Assumptions!C9</f>
        <v>130.6664882</v>
      </c>
      <c r="D33" s="30">
        <f>'Market (Omdia)'!I24*Assumptions!C7+'Market (Omdia)'!I13*Assumptions!C9</f>
        <v>130.6664882</v>
      </c>
      <c r="E33" s="30">
        <f>'Market (Omdia)'!I24*Assumptions!C7+'Market (Omdia)'!I13*Assumptions!C9</f>
        <v>130.6664882</v>
      </c>
    </row>
    <row r="34" spans="2:8" x14ac:dyDescent="0.35">
      <c r="B34" s="85" t="s">
        <v>201</v>
      </c>
      <c r="C34" s="86">
        <f>C32-C33</f>
        <v>33.073523444000017</v>
      </c>
      <c r="D34" s="86">
        <f>D32-D33</f>
        <v>117.92187831000004</v>
      </c>
      <c r="E34" s="86">
        <f>E32-E33</f>
        <v>263.63351608000005</v>
      </c>
    </row>
    <row r="36" spans="2:8" ht="15" customHeight="1" x14ac:dyDescent="0.35">
      <c r="B36" s="1" t="s">
        <v>202</v>
      </c>
      <c r="C36" s="1"/>
      <c r="D36" s="1"/>
      <c r="E36" s="1"/>
      <c r="F36" s="1"/>
      <c r="G36" s="1"/>
      <c r="H36" s="1"/>
    </row>
    <row r="37" spans="2:8" x14ac:dyDescent="0.35">
      <c r="B37" s="1"/>
      <c r="C37" s="1"/>
      <c r="D37" s="1"/>
      <c r="E37" s="1"/>
      <c r="F37" s="1"/>
      <c r="G37" s="1"/>
      <c r="H37" s="1"/>
    </row>
  </sheetData>
  <mergeCells count="10">
    <mergeCell ref="C9:D9"/>
    <mergeCell ref="C10:D10"/>
    <mergeCell ref="C11:D11"/>
    <mergeCell ref="C12:D12"/>
    <mergeCell ref="B36:H37"/>
    <mergeCell ref="B2:H2"/>
    <mergeCell ref="C5:D5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Market (Omdia)</vt:lpstr>
      <vt:lpstr>Assumptions</vt:lpstr>
      <vt:lpstr>Revenue Model</vt:lpstr>
      <vt:lpstr>Share &amp; Disruption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Ouellette, Jason (ELATEC USA)</cp:lastModifiedBy>
  <cp:revision>1</cp:revision>
  <dcterms:created xsi:type="dcterms:W3CDTF">2026-07-17T21:02:33Z</dcterms:created>
  <dcterms:modified xsi:type="dcterms:W3CDTF">2026-07-17T21:16:23Z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